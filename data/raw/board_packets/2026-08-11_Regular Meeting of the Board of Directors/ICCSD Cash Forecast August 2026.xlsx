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480thcompany.sharepoint.com/sites/480BackOffice/Shared Documents/Clients - Contracts/ICCSD/2026-08-11_Regular Meeting of the Board of Directors/"/>
    </mc:Choice>
  </mc:AlternateContent>
  <xr:revisionPtr revIDLastSave="121" documentId="8_{8125E47C-3E7A-41AF-AAEF-864BD32B504B}" xr6:coauthVersionLast="47" xr6:coauthVersionMax="47" xr10:uidLastSave="{BD795360-5DD5-419B-B91F-D5996072416C}"/>
  <bookViews>
    <workbookView xWindow="16250" yWindow="0" windowWidth="20290" windowHeight="20970" activeTab="3" xr2:uid="{F686FF71-180A-4F53-95F4-9397CD327D14}"/>
  </bookViews>
  <sheets>
    <sheet name="Assumptions" sheetId="2" r:id="rId1"/>
    <sheet name="Interfund Matrix" sheetId="3" r:id="rId2"/>
    <sheet name="GF Monthly FY26" sheetId="8" r:id="rId3"/>
    <sheet name="GF Monthly FY27" sheetId="4" r:id="rId4"/>
    <sheet name="SAVE FY27" sheetId="5" r:id="rId5"/>
    <sheet name="PPEL FY27" sheetId="6" r:id="rId6"/>
    <sheet name="Summary &amp; Checks" sheetId="7"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M45" i="4" l="1"/>
  <c r="L45" i="4"/>
  <c r="K45" i="4"/>
  <c r="J45" i="4"/>
  <c r="I45" i="4"/>
  <c r="H45" i="4"/>
  <c r="G45" i="4"/>
  <c r="F45" i="4"/>
  <c r="E45" i="4"/>
  <c r="D45" i="4"/>
  <c r="C45" i="4"/>
  <c r="B35" i="8"/>
  <c r="M35" i="8"/>
  <c r="L35" i="8"/>
  <c r="K35" i="8"/>
  <c r="J35" i="8"/>
  <c r="I35" i="8"/>
  <c r="H35" i="8"/>
  <c r="G35" i="8"/>
  <c r="F35" i="8"/>
  <c r="E35" i="8"/>
  <c r="D35" i="8"/>
  <c r="C35" i="8"/>
  <c r="B7" i="2"/>
  <c r="M26" i="8"/>
  <c r="L26" i="8"/>
  <c r="K26" i="8"/>
  <c r="J26" i="8"/>
  <c r="I26" i="8"/>
  <c r="H26" i="8"/>
  <c r="G26" i="8"/>
  <c r="F26" i="8"/>
  <c r="E26" i="8"/>
  <c r="D26" i="8"/>
  <c r="C26" i="8"/>
  <c r="B31" i="8"/>
  <c r="B26" i="8"/>
  <c r="N22" i="8"/>
  <c r="N21" i="8"/>
  <c r="N19" i="8"/>
  <c r="N18" i="8"/>
  <c r="N17" i="8"/>
  <c r="N16" i="8"/>
  <c r="N15" i="8"/>
  <c r="N14" i="8"/>
  <c r="N12" i="8"/>
  <c r="N11" i="8"/>
  <c r="N10" i="8"/>
  <c r="N9" i="8"/>
  <c r="N8" i="8"/>
  <c r="N7" i="8"/>
  <c r="N5" i="8"/>
  <c r="D5" i="8"/>
  <c r="D22" i="8" s="1"/>
  <c r="E5" i="8" s="1"/>
  <c r="E22" i="8" s="1"/>
  <c r="F5" i="8" s="1"/>
  <c r="F22" i="8" s="1"/>
  <c r="G5" i="8" s="1"/>
  <c r="G22" i="8" s="1"/>
  <c r="H5" i="8" s="1"/>
  <c r="H22" i="8" s="1"/>
  <c r="I5" i="8" s="1"/>
  <c r="I22" i="8" s="1"/>
  <c r="J5" i="8" s="1"/>
  <c r="J22" i="8" s="1"/>
  <c r="K5" i="8" s="1"/>
  <c r="K22" i="8" s="1"/>
  <c r="L5" i="8" s="1"/>
  <c r="L22" i="8" s="1"/>
  <c r="M5" i="8" s="1"/>
  <c r="M22" i="8" s="1"/>
  <c r="C22" i="8"/>
  <c r="M21" i="8"/>
  <c r="L21" i="8"/>
  <c r="K21" i="8"/>
  <c r="J21" i="8"/>
  <c r="I21" i="8"/>
  <c r="H21" i="8"/>
  <c r="G21" i="8"/>
  <c r="F21" i="8"/>
  <c r="E21" i="8"/>
  <c r="D21" i="8"/>
  <c r="C21" i="8"/>
  <c r="M19" i="8"/>
  <c r="L19" i="8"/>
  <c r="K19" i="8"/>
  <c r="J19" i="8"/>
  <c r="I19" i="8"/>
  <c r="H19" i="8"/>
  <c r="G19" i="8"/>
  <c r="F19" i="8"/>
  <c r="E19" i="8"/>
  <c r="D19" i="8"/>
  <c r="C19" i="8"/>
  <c r="M12" i="8"/>
  <c r="L12" i="8"/>
  <c r="K12" i="8"/>
  <c r="J12" i="8"/>
  <c r="I12" i="8"/>
  <c r="H12" i="8"/>
  <c r="G12" i="8"/>
  <c r="F12" i="8"/>
  <c r="E12" i="8"/>
  <c r="D12" i="8"/>
  <c r="C12" i="8"/>
  <c r="C5" i="8"/>
  <c r="B22" i="8"/>
  <c r="B21" i="8"/>
  <c r="B19" i="8"/>
  <c r="B12" i="8"/>
  <c r="B97" i="7"/>
  <c r="B96" i="7"/>
  <c r="B95" i="7"/>
  <c r="B94" i="7"/>
  <c r="B89" i="7"/>
  <c r="B88" i="7"/>
  <c r="B85" i="7"/>
  <c r="C82" i="7"/>
  <c r="D81" i="7"/>
  <c r="C81" i="7"/>
  <c r="B81" i="7"/>
  <c r="D80" i="7"/>
  <c r="C80" i="7"/>
  <c r="B80" i="7"/>
  <c r="C79" i="7"/>
  <c r="B79" i="7"/>
  <c r="B82" i="7" s="1"/>
  <c r="B73" i="7"/>
  <c r="C66" i="7"/>
  <c r="C65" i="7"/>
  <c r="B65" i="7"/>
  <c r="C64" i="7"/>
  <c r="B64" i="7"/>
  <c r="C63" i="7"/>
  <c r="C43" i="7"/>
  <c r="C41" i="7"/>
  <c r="C40" i="7"/>
  <c r="C39" i="7"/>
  <c r="C35" i="7"/>
  <c r="C34" i="7"/>
  <c r="C16" i="7"/>
  <c r="B16" i="7"/>
  <c r="C15" i="7"/>
  <c r="B15" i="7"/>
  <c r="C14" i="7"/>
  <c r="B14" i="7"/>
  <c r="C13" i="7"/>
  <c r="B12" i="7"/>
  <c r="B7" i="7"/>
  <c r="B6" i="7"/>
  <c r="B27" i="6"/>
  <c r="B24" i="6"/>
  <c r="B17" i="6"/>
  <c r="B14" i="6"/>
  <c r="B5" i="6"/>
  <c r="B15" i="5"/>
  <c r="B14" i="5"/>
  <c r="B11" i="5"/>
  <c r="B5" i="5"/>
  <c r="N15" i="4"/>
  <c r="N14" i="4"/>
  <c r="N9" i="4"/>
  <c r="N8" i="4"/>
  <c r="N7" i="4"/>
  <c r="M30" i="4"/>
  <c r="L30" i="4"/>
  <c r="K30" i="4"/>
  <c r="J30" i="4"/>
  <c r="I30" i="4"/>
  <c r="H30" i="4"/>
  <c r="G30" i="4"/>
  <c r="F30" i="4"/>
  <c r="E30" i="4"/>
  <c r="D30" i="4"/>
  <c r="C30" i="4"/>
  <c r="C26" i="4" s="1"/>
  <c r="C11" i="4" s="1"/>
  <c r="M16" i="4"/>
  <c r="K16" i="4"/>
  <c r="J16" i="4"/>
  <c r="I16" i="4"/>
  <c r="H16" i="4"/>
  <c r="G16" i="4"/>
  <c r="F16" i="4"/>
  <c r="E16" i="4"/>
  <c r="D16" i="4"/>
  <c r="C16" i="4"/>
  <c r="M10" i="4"/>
  <c r="L10" i="4"/>
  <c r="K10" i="4"/>
  <c r="J10" i="4"/>
  <c r="I10" i="4"/>
  <c r="H10" i="4"/>
  <c r="G10" i="4"/>
  <c r="F10" i="4"/>
  <c r="E10" i="4"/>
  <c r="C10" i="4"/>
  <c r="B30" i="4"/>
  <c r="B26" i="4" s="1"/>
  <c r="B11" i="4" s="1"/>
  <c r="B29" i="4"/>
  <c r="B18" i="4"/>
  <c r="B16" i="4"/>
  <c r="B37" i="4" s="1"/>
  <c r="B10" i="4"/>
  <c r="B5" i="4"/>
  <c r="H11" i="3"/>
  <c r="B26" i="6" s="1"/>
  <c r="F11" i="3"/>
  <c r="H10" i="3"/>
  <c r="F10" i="3"/>
  <c r="G9" i="3"/>
  <c r="F9" i="3"/>
  <c r="F12" i="3" s="1"/>
  <c r="G8" i="3"/>
  <c r="H8" i="3" s="1"/>
  <c r="F8" i="3"/>
  <c r="H7" i="3"/>
  <c r="F7" i="3"/>
  <c r="H6" i="3"/>
  <c r="D10" i="4" s="1"/>
  <c r="F6" i="3"/>
  <c r="H5" i="3"/>
  <c r="F5" i="3"/>
  <c r="B35" i="2"/>
  <c r="B10" i="2"/>
  <c r="H9" i="3" l="1"/>
  <c r="C12" i="7" s="1"/>
  <c r="D12" i="7" s="1"/>
  <c r="B52" i="7"/>
  <c r="C67" i="7" s="1"/>
  <c r="O7" i="4"/>
  <c r="O14" i="4"/>
  <c r="B5" i="7"/>
  <c r="B8" i="7" s="1"/>
  <c r="B51" i="7"/>
  <c r="B53" i="7" s="1"/>
  <c r="B54" i="7" s="1"/>
  <c r="P7" i="4"/>
  <c r="C58" i="7"/>
  <c r="C59" i="7"/>
  <c r="B43" i="4"/>
  <c r="D16" i="7"/>
  <c r="N5" i="4"/>
  <c r="D79" i="7"/>
  <c r="D82" i="7" s="1"/>
  <c r="B18" i="5"/>
  <c r="D14" i="7"/>
  <c r="D15" i="7"/>
  <c r="B29" i="6"/>
  <c r="B30" i="6" s="1"/>
  <c r="B13" i="7"/>
  <c r="D13" i="7" s="1"/>
  <c r="L16" i="4"/>
  <c r="N16" i="4" s="1"/>
  <c r="B17" i="5"/>
  <c r="C12" i="4"/>
  <c r="N10" i="4"/>
  <c r="B12" i="4"/>
  <c r="B31" i="4"/>
  <c r="B27" i="4" s="1"/>
  <c r="B17" i="4" s="1"/>
  <c r="B52" i="4" s="1"/>
  <c r="H12" i="3" l="1"/>
  <c r="C7" i="7"/>
  <c r="S52" i="4"/>
  <c r="N37" i="4"/>
  <c r="B21" i="5"/>
  <c r="B23" i="5" s="1"/>
  <c r="C6" i="7" s="1"/>
  <c r="C17" i="7"/>
  <c r="D17" i="7"/>
  <c r="E17" i="7" s="1"/>
  <c r="B33" i="6"/>
  <c r="D7" i="7"/>
  <c r="B35" i="7"/>
  <c r="D35" i="7" s="1"/>
  <c r="B17" i="7"/>
  <c r="B19" i="4"/>
  <c r="B28" i="4"/>
  <c r="B24" i="5" l="1"/>
  <c r="D6" i="7" s="1"/>
  <c r="C25" i="4"/>
  <c r="B21" i="4"/>
  <c r="B34" i="7" l="1"/>
  <c r="D34" i="7" s="1"/>
  <c r="B27" i="5"/>
  <c r="B22" i="4"/>
  <c r="C29" i="4"/>
  <c r="C18" i="4"/>
  <c r="C5" i="4" l="1"/>
  <c r="B36" i="4"/>
  <c r="C43" i="4" l="1"/>
  <c r="C31" i="4"/>
  <c r="C27" i="4" s="1"/>
  <c r="C17" i="4" s="1"/>
  <c r="C52" i="4" s="1"/>
  <c r="C37" i="4"/>
  <c r="C28" i="4" l="1"/>
  <c r="D25" i="4" s="1"/>
  <c r="D29" i="4" s="1"/>
  <c r="C19" i="4"/>
  <c r="D18" i="4" l="1"/>
  <c r="C21" i="4"/>
  <c r="C22" i="4" l="1"/>
  <c r="D5" i="4" l="1"/>
  <c r="C36" i="4"/>
  <c r="D43" i="4" l="1"/>
  <c r="D31" i="4"/>
  <c r="D26" i="4" s="1"/>
  <c r="D11" i="4" s="1"/>
  <c r="D37" i="4"/>
  <c r="D27" i="4" l="1"/>
  <c r="D17" i="4" s="1"/>
  <c r="D12" i="4"/>
  <c r="D19" i="4" l="1"/>
  <c r="D52" i="4"/>
  <c r="D28" i="4"/>
  <c r="E25" i="4" s="1"/>
  <c r="E29" i="4" s="1"/>
  <c r="D21" i="4"/>
  <c r="E18" i="4" l="1"/>
  <c r="D22" i="4"/>
  <c r="E5" i="4" l="1"/>
  <c r="D36" i="4"/>
  <c r="E43" i="4" l="1"/>
  <c r="E31" i="4"/>
  <c r="E26" i="4" s="1"/>
  <c r="E11" i="4" s="1"/>
  <c r="E37" i="4"/>
  <c r="E27" i="4" l="1"/>
  <c r="E17" i="4" s="1"/>
  <c r="E52" i="4" s="1"/>
  <c r="E12" i="4"/>
  <c r="E19" i="4" l="1"/>
  <c r="E21" i="4" s="1"/>
  <c r="E28" i="4"/>
  <c r="F25" i="4" s="1"/>
  <c r="E22" i="4" l="1"/>
  <c r="F29" i="4"/>
  <c r="F18" i="4"/>
  <c r="F5" i="4" l="1"/>
  <c r="E36" i="4"/>
  <c r="F43" i="4" l="1"/>
  <c r="F31" i="4"/>
  <c r="F26" i="4" s="1"/>
  <c r="F11" i="4" s="1"/>
  <c r="F37" i="4"/>
  <c r="F27" i="4" l="1"/>
  <c r="F17" i="4" s="1"/>
  <c r="F52" i="4" s="1"/>
  <c r="F12" i="4"/>
  <c r="F19" i="4" l="1"/>
  <c r="F21" i="4" s="1"/>
  <c r="F28" i="4"/>
  <c r="G25" i="4" s="1"/>
  <c r="G18" i="4" l="1"/>
  <c r="G29" i="4"/>
  <c r="F22" i="4"/>
  <c r="F36" i="4" l="1"/>
  <c r="G5" i="4"/>
  <c r="G43" i="4" l="1"/>
  <c r="G31" i="4"/>
  <c r="G26" i="4" s="1"/>
  <c r="G11" i="4" s="1"/>
  <c r="G37" i="4"/>
  <c r="G27" i="4" l="1"/>
  <c r="G17" i="4" s="1"/>
  <c r="G52" i="4" s="1"/>
  <c r="G12" i="4"/>
  <c r="G28" i="4" l="1"/>
  <c r="H25" i="4" s="1"/>
  <c r="G19" i="4"/>
  <c r="G21" i="4"/>
  <c r="G22" i="4" l="1"/>
  <c r="H29" i="4"/>
  <c r="H18" i="4"/>
  <c r="H5" i="4" l="1"/>
  <c r="G36" i="4"/>
  <c r="H43" i="4" l="1"/>
  <c r="H31" i="4"/>
  <c r="H26" i="4" s="1"/>
  <c r="H11" i="4" s="1"/>
  <c r="H37" i="4"/>
  <c r="H27" i="4" l="1"/>
  <c r="H17" i="4" s="1"/>
  <c r="H12" i="4"/>
  <c r="H19" i="4" l="1"/>
  <c r="H21" i="4" s="1"/>
  <c r="H22" i="4" s="1"/>
  <c r="H52" i="4"/>
  <c r="H28" i="4"/>
  <c r="I25" i="4" s="1"/>
  <c r="I29" i="4" s="1"/>
  <c r="I18" i="4" l="1"/>
  <c r="H36" i="4"/>
  <c r="I5" i="4"/>
  <c r="I43" i="4" s="1"/>
  <c r="I37" i="4" l="1"/>
  <c r="I31" i="4"/>
  <c r="I26" i="4" s="1"/>
  <c r="I11" i="4" s="1"/>
  <c r="I12" i="4" s="1"/>
  <c r="I27" i="4" l="1"/>
  <c r="I17" i="4" s="1"/>
  <c r="I19" i="4" s="1"/>
  <c r="I21" i="4" s="1"/>
  <c r="I22" i="4" s="1"/>
  <c r="J5" i="4" s="1"/>
  <c r="I28" i="4" l="1"/>
  <c r="J25" i="4" s="1"/>
  <c r="I52" i="4"/>
  <c r="J37" i="4"/>
  <c r="J43" i="4"/>
  <c r="I36" i="4"/>
  <c r="J29" i="4"/>
  <c r="J18" i="4"/>
  <c r="J31" i="4" s="1"/>
  <c r="J26" i="4" l="1"/>
  <c r="J11" i="4" s="1"/>
  <c r="J12" i="4" s="1"/>
  <c r="J27" i="4" l="1"/>
  <c r="J17" i="4" s="1"/>
  <c r="J19" i="4" l="1"/>
  <c r="J21" i="4" s="1"/>
  <c r="J22" i="4" s="1"/>
  <c r="K5" i="4" s="1"/>
  <c r="K37" i="4" s="1"/>
  <c r="J52" i="4"/>
  <c r="J28" i="4"/>
  <c r="K25" i="4" s="1"/>
  <c r="K18" i="4" s="1"/>
  <c r="K29" i="4"/>
  <c r="K31" i="4" l="1"/>
  <c r="K26" i="4" s="1"/>
  <c r="K11" i="4" s="1"/>
  <c r="K12" i="4" s="1"/>
  <c r="J36" i="4"/>
  <c r="K43" i="4"/>
  <c r="K27" i="4" l="1"/>
  <c r="K17" i="4" s="1"/>
  <c r="K19" i="4" s="1"/>
  <c r="K21" i="4" s="1"/>
  <c r="K22" i="4" s="1"/>
  <c r="K36" i="4" s="1"/>
  <c r="L5" i="4" l="1"/>
  <c r="L43" i="4" s="1"/>
  <c r="K28" i="4"/>
  <c r="L25" i="4" s="1"/>
  <c r="L29" i="4" s="1"/>
  <c r="K52" i="4"/>
  <c r="L18" i="4"/>
  <c r="L31" i="4" s="1"/>
  <c r="L37" i="4" l="1"/>
  <c r="L26" i="4"/>
  <c r="L11" i="4" s="1"/>
  <c r="L12" i="4" s="1"/>
  <c r="L27" i="4" l="1"/>
  <c r="L17" i="4" s="1"/>
  <c r="L19" i="4" l="1"/>
  <c r="L21" i="4" s="1"/>
  <c r="L22" i="4" s="1"/>
  <c r="L36" i="4" s="1"/>
  <c r="L52" i="4"/>
  <c r="L28" i="4"/>
  <c r="M25" i="4" s="1"/>
  <c r="M29" i="4" s="1"/>
  <c r="M5" i="4"/>
  <c r="M37" i="4" l="1"/>
  <c r="M43" i="4"/>
  <c r="M18" i="4"/>
  <c r="M31" i="4" s="1"/>
  <c r="M26" i="4"/>
  <c r="M11" i="4" s="1"/>
  <c r="N18" i="4"/>
  <c r="B27" i="7"/>
  <c r="C44" i="7" s="1"/>
  <c r="B26" i="7"/>
  <c r="M27" i="4" l="1"/>
  <c r="M17" i="4" s="1"/>
  <c r="N17" i="4" s="1"/>
  <c r="M12" i="4"/>
  <c r="N12" i="4" s="1"/>
  <c r="Q58" i="4" s="1"/>
  <c r="N11" i="4"/>
  <c r="M62" i="4" l="1"/>
  <c r="B53" i="4"/>
  <c r="B62" i="4"/>
  <c r="L62" i="4"/>
  <c r="K62" i="4"/>
  <c r="E62" i="4"/>
  <c r="D62" i="4"/>
  <c r="C62" i="4"/>
  <c r="J62" i="4"/>
  <c r="I62" i="4"/>
  <c r="M60" i="4"/>
  <c r="H62" i="4"/>
  <c r="G62" i="4"/>
  <c r="F62" i="4"/>
  <c r="S53" i="4"/>
  <c r="M19" i="4"/>
  <c r="M21" i="4" s="1"/>
  <c r="M52" i="4"/>
  <c r="Q52" i="4" s="1"/>
  <c r="Q53" i="4" s="1"/>
  <c r="M28" i="4"/>
  <c r="B28" i="7" s="1"/>
  <c r="C28" i="7" s="1"/>
  <c r="T60" i="4" l="1"/>
  <c r="T61" i="4" s="1"/>
  <c r="M63" i="4"/>
  <c r="H60" i="4"/>
  <c r="H63" i="4" s="1"/>
  <c r="D60" i="4"/>
  <c r="D63" i="4" s="1"/>
  <c r="B60" i="4"/>
  <c r="L60" i="4"/>
  <c r="L63" i="4" s="1"/>
  <c r="G60" i="4"/>
  <c r="G63" i="4" s="1"/>
  <c r="I60" i="4"/>
  <c r="I63" i="4" s="1"/>
  <c r="K60" i="4"/>
  <c r="K63" i="4" s="1"/>
  <c r="F60" i="4"/>
  <c r="F63" i="4" s="1"/>
  <c r="E60" i="4"/>
  <c r="E63" i="4" s="1"/>
  <c r="C60" i="4"/>
  <c r="C63" i="4" s="1"/>
  <c r="J60" i="4"/>
  <c r="J63" i="4" s="1"/>
  <c r="N19" i="4"/>
  <c r="B36" i="2" s="1"/>
  <c r="C34" i="4" s="1"/>
  <c r="B54" i="4"/>
  <c r="C54" i="4"/>
  <c r="D54" i="4"/>
  <c r="E54" i="4"/>
  <c r="F54" i="4"/>
  <c r="G54" i="4"/>
  <c r="H54" i="4"/>
  <c r="I54" i="4"/>
  <c r="J54" i="4"/>
  <c r="K54" i="4"/>
  <c r="L54" i="4"/>
  <c r="M54" i="4"/>
  <c r="T52" i="4"/>
  <c r="T53" i="4" s="1"/>
  <c r="R52" i="4"/>
  <c r="R53" i="4" s="1"/>
  <c r="O52" i="4"/>
  <c r="O53" i="4" s="1"/>
  <c r="P52" i="4"/>
  <c r="P53" i="4" s="1"/>
  <c r="B25" i="7"/>
  <c r="M22" i="4"/>
  <c r="N21" i="4"/>
  <c r="Q60" i="4" l="1"/>
  <c r="Q61" i="4" s="1"/>
  <c r="J34" i="4"/>
  <c r="B34" i="4"/>
  <c r="D35" i="4"/>
  <c r="C35" i="4"/>
  <c r="B35" i="4"/>
  <c r="L34" i="4"/>
  <c r="I34" i="4"/>
  <c r="H34" i="4"/>
  <c r="F34" i="4"/>
  <c r="M34" i="4"/>
  <c r="K34" i="4"/>
  <c r="J35" i="4"/>
  <c r="B63" i="4"/>
  <c r="P60" i="4"/>
  <c r="P61" i="4" s="1"/>
  <c r="O60" i="4"/>
  <c r="O61" i="4" s="1"/>
  <c r="S60" i="4"/>
  <c r="S61" i="4" s="1"/>
  <c r="R60" i="4"/>
  <c r="R61" i="4" s="1"/>
  <c r="I35" i="4"/>
  <c r="H35" i="4"/>
  <c r="G35" i="4"/>
  <c r="D34" i="4"/>
  <c r="E35" i="4"/>
  <c r="L35" i="4"/>
  <c r="K35" i="4"/>
  <c r="G34" i="4"/>
  <c r="E34" i="4"/>
  <c r="F35" i="4"/>
  <c r="B32" i="7"/>
  <c r="D32" i="7" s="1"/>
  <c r="B57" i="7"/>
  <c r="B90" i="7" s="1"/>
  <c r="B91" i="7" s="1"/>
  <c r="B21" i="7"/>
  <c r="C21" i="7" s="1"/>
  <c r="B20" i="7"/>
  <c r="B60" i="7" s="1"/>
  <c r="D5" i="7"/>
  <c r="B22" i="7"/>
  <c r="N22" i="4"/>
  <c r="M36" i="4"/>
  <c r="B24" i="7" s="1"/>
  <c r="M35" i="4"/>
  <c r="B23" i="7" s="1"/>
  <c r="B63" i="7" l="1"/>
  <c r="B66" i="7" s="1"/>
  <c r="B67" i="7" s="1"/>
  <c r="B59" i="7"/>
  <c r="B58" i="7"/>
  <c r="C20" i="7"/>
  <c r="B33" i="7"/>
  <c r="D33" i="7" s="1"/>
  <c r="C5" i="7"/>
  <c r="C8" i="7" s="1"/>
  <c r="D8"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Michael Parrott</author>
  </authors>
  <commentList>
    <comment ref="B7" authorId="0" shapeId="0" xr:uid="{E1A1DAEC-B3E8-482B-8132-A1DE52EEB4A9}">
      <text>
        <r>
          <rPr>
            <b/>
            <sz val="9"/>
            <color indexed="81"/>
            <rFont val="Tahoma"/>
            <charset val="1"/>
          </rPr>
          <t>Michael Parrott:</t>
        </r>
        <r>
          <rPr>
            <sz val="9"/>
            <color indexed="81"/>
            <rFont val="Tahoma"/>
            <charset val="1"/>
          </rPr>
          <t xml:space="preserve">
Source: PFM Financial Advisors, General Fund Monthly Cashflow Update &amp; Warrant Recommendation, August 11, 2026, Exhibit 2 (FY2026 actual ending cash).</t>
        </r>
      </text>
    </comment>
    <comment ref="B8" authorId="0" shapeId="0" xr:uid="{BC65024F-9D5B-4892-B9DD-6096387F9A9B}">
      <text>
        <r>
          <rPr>
            <b/>
            <sz val="9"/>
            <color indexed="81"/>
            <rFont val="Tahoma"/>
            <charset val="1"/>
          </rPr>
          <t>Michael Parrott:</t>
        </r>
        <r>
          <rPr>
            <sz val="9"/>
            <color indexed="81"/>
            <rFont val="Tahoma"/>
            <charset val="1"/>
          </rPr>
          <t xml:space="preserve">
Source: PFM Financial Advisors, Capital Funding Capacity — SAVE &amp; PPEL Analyses, June 9, 2026, Exhibit 1, FY2025-26 ending unrestricted cash.</t>
        </r>
      </text>
    </comment>
    <comment ref="B9" authorId="0" shapeId="0" xr:uid="{0E0E9448-26AC-4386-BEB0-DECB982BFB55}">
      <text>
        <r>
          <rPr>
            <b/>
            <sz val="9"/>
            <color indexed="81"/>
            <rFont val="Tahoma"/>
            <charset val="1"/>
          </rPr>
          <t>Michael Parrott:</t>
        </r>
        <r>
          <rPr>
            <sz val="9"/>
            <color indexed="81"/>
            <rFont val="Tahoma"/>
            <charset val="1"/>
          </rPr>
          <t xml:space="preserve">
Source: PFM Financial Advisors, Capital Funding Capacity — SAVE &amp; PPEL Analyses, June 9, 2026, Exhibit 1a, FY2026 ending unrestricted cash.</t>
        </r>
      </text>
    </comment>
    <comment ref="B14" authorId="0" shapeId="0" xr:uid="{C286B94E-C42C-4C1E-B7D1-047382C82F71}">
      <text>
        <r>
          <rPr>
            <b/>
            <sz val="9"/>
            <color indexed="81"/>
            <rFont val="Tahoma"/>
            <charset val="1"/>
          </rPr>
          <t>Michael Parrott:</t>
        </r>
        <r>
          <rPr>
            <sz val="9"/>
            <color indexed="81"/>
            <rFont val="Tahoma"/>
            <charset val="1"/>
          </rPr>
          <t xml:space="preserve">
Source: PFM Financial Advisors, August 11, 2026 — recommendation for a $8,000,000 draw-down Taxable Anticipatory Warrant issued with a local bank.</t>
        </r>
      </text>
    </comment>
    <comment ref="B23" authorId="0" shapeId="0" xr:uid="{FEA79D0B-A7C2-4C0E-A7ED-5EA5D2751E75}">
      <text>
        <r>
          <rPr>
            <b/>
            <sz val="9"/>
            <color indexed="81"/>
            <rFont val="Tahoma"/>
            <charset val="1"/>
          </rPr>
          <t>Michael Parrott:</t>
        </r>
        <r>
          <rPr>
            <sz val="9"/>
            <color indexed="81"/>
            <rFont val="Tahoma"/>
            <charset val="1"/>
          </rPr>
          <t xml:space="preserve">
Source: PFM Financial Advisors, August 11, 2026, Interfund Loans Update slide.</t>
        </r>
      </text>
    </comment>
    <comment ref="B24" authorId="0" shapeId="0" xr:uid="{0907FEC4-0423-4783-B72E-3FDFB83FC833}">
      <text>
        <r>
          <rPr>
            <b/>
            <sz val="9"/>
            <color indexed="81"/>
            <rFont val="Tahoma"/>
            <charset val="1"/>
          </rPr>
          <t>Michael Parrott:</t>
        </r>
        <r>
          <rPr>
            <sz val="9"/>
            <color indexed="81"/>
            <rFont val="Tahoma"/>
            <charset val="1"/>
          </rPr>
          <t xml:space="preserve">
Source: PFM Financial Advisors, August 11, 2026 — 'With interest = $10,600,000', repaid in September.</t>
        </r>
      </text>
    </comment>
    <comment ref="B25" authorId="0" shapeId="0" xr:uid="{C713EFB4-DB7F-4411-8944-E8F547E43ED3}">
      <text>
        <r>
          <rPr>
            <b/>
            <sz val="9"/>
            <color indexed="81"/>
            <rFont val="Tahoma"/>
            <charset val="1"/>
          </rPr>
          <t>Michael Parrott:</t>
        </r>
        <r>
          <rPr>
            <sz val="9"/>
            <color indexed="81"/>
            <rFont val="Tahoma"/>
            <charset val="1"/>
          </rPr>
          <t xml:space="preserve">
Source: PFM Financial Advisors, April 28, 2026 and August 11, 2026 — $7,320,000 interfund loan from General Fund to SAVE Fund funded no later than May 22, 2026.</t>
        </r>
      </text>
    </comment>
    <comment ref="B26" authorId="0" shapeId="0" xr:uid="{B8F0249D-4109-465E-BCBD-E5444D56B46D}">
      <text>
        <r>
          <rPr>
            <b/>
            <sz val="9"/>
            <color indexed="81"/>
            <rFont val="Tahoma"/>
            <charset val="1"/>
          </rPr>
          <t>Michael Parrott:</t>
        </r>
        <r>
          <rPr>
            <sz val="9"/>
            <color indexed="81"/>
            <rFont val="Tahoma"/>
            <charset val="1"/>
          </rPr>
          <t xml:space="preserve">
Source: PFM Financial Advisors, August 11, 2026, Exhibit 2 (Loan Repayments IN, September-26) and June 9, 2026 SAVE Exhibit 1 (Other Transfers Out, FY2026-27).</t>
        </r>
      </text>
    </comment>
    <comment ref="B27" authorId="0" shapeId="0" xr:uid="{F0D4D14F-D956-4034-BF35-3ABFAB7B4135}">
      <text>
        <r>
          <rPr>
            <b/>
            <sz val="9"/>
            <color indexed="81"/>
            <rFont val="Tahoma"/>
            <charset val="1"/>
          </rPr>
          <t>Michael Parrott:</t>
        </r>
        <r>
          <rPr>
            <sz val="9"/>
            <color indexed="81"/>
            <rFont val="Tahoma"/>
            <charset val="1"/>
          </rPr>
          <t xml:space="preserve">
Source: PFM Financial Advisors, August 11, 2026 — 'SAVE will need another interfund loan from General Fund no later than May 2027... Estimated to be around $6,100,000'. NOT included in PFM's August Exhibit 2 General Fund cashflow.</t>
        </r>
      </text>
    </comment>
    <comment ref="B28" authorId="0" shapeId="0" xr:uid="{30C65911-2D20-4768-B331-35666866142D}">
      <text>
        <r>
          <rPr>
            <b/>
            <sz val="9"/>
            <color indexed="81"/>
            <rFont val="Tahoma"/>
            <charset val="1"/>
          </rPr>
          <t>Michael Parrott:</t>
        </r>
        <r>
          <rPr>
            <sz val="9"/>
            <color indexed="81"/>
            <rFont val="Tahoma"/>
            <charset val="1"/>
          </rPr>
          <t xml:space="preserve">
Source: PFM Financial Advisors, August 11, 2026 — 'SAVE will need a third and hopefully final interfund loan in May 2027... Estimated to be around $2,500,000'. NOT included in PFM's August Exhibit 2 General Fund cashflow.</t>
        </r>
      </text>
    </comment>
    <comment ref="B29" authorId="0" shapeId="0" xr:uid="{59D5D9D0-6BD5-4F3F-8E71-D1DDF98AD686}">
      <text>
        <r>
          <rPr>
            <b/>
            <sz val="9"/>
            <color indexed="81"/>
            <rFont val="Tahoma"/>
            <charset val="1"/>
          </rPr>
          <t>Michael Parrott:</t>
        </r>
        <r>
          <rPr>
            <sz val="9"/>
            <color indexed="81"/>
            <rFont val="Tahoma"/>
            <charset val="1"/>
          </rPr>
          <t xml:space="preserve">
Source: PFM Financial Advisors, August 11, 2026, Exhibit 2 — 'Loan Repayments OUT' of $2,500,000 in November-26. Counterparty fund is not identified in the deck.</t>
        </r>
      </text>
    </comment>
    <comment ref="B30" authorId="0" shapeId="0" xr:uid="{2CF39F83-7EFC-40A8-9692-811388E9AE3C}">
      <text>
        <r>
          <rPr>
            <b/>
            <sz val="9"/>
            <color indexed="81"/>
            <rFont val="Tahoma"/>
            <charset val="1"/>
          </rPr>
          <t>Michael Parrott:</t>
        </r>
        <r>
          <rPr>
            <sz val="9"/>
            <color indexed="81"/>
            <rFont val="Tahoma"/>
            <charset val="1"/>
          </rPr>
          <t xml:space="preserve">
Source: PFM Financial Advisors, August 11, 2026 — 'FY 2024 audit showed General Fund owed SAVE $4 million and PPEL $3 million.' Timing of repayment unknown; excluded from the FY2027 cashflow.</t>
        </r>
      </text>
    </comment>
    <comment ref="B31" authorId="0" shapeId="0" xr:uid="{F7B8D420-4CD3-4B9B-A156-5DBB4205DC2B}">
      <text>
        <r>
          <rPr>
            <b/>
            <sz val="9"/>
            <color indexed="81"/>
            <rFont val="Tahoma"/>
            <charset val="1"/>
          </rPr>
          <t>Michael Parrott:</t>
        </r>
        <r>
          <rPr>
            <sz val="9"/>
            <color indexed="81"/>
            <rFont val="Tahoma"/>
            <charset val="1"/>
          </rPr>
          <t xml:space="preserve">
Source: PFM Financial Advisors, August 11, 2026 — 'FY 2024 audit showed General Fund owed SAVE $4 million and PPEL $3 million.' Timing of repayment unknown; excluded from the FY2027 cashflow.</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Michael Parrott</author>
  </authors>
  <commentList>
    <comment ref="B5" authorId="0" shapeId="0" xr:uid="{F15382EE-230D-4FE7-BB28-DF9125BE4073}">
      <text>
        <r>
          <rPr>
            <b/>
            <sz val="9"/>
            <color indexed="81"/>
            <rFont val="Tahoma"/>
            <charset val="1"/>
          </rPr>
          <t>Michael Parrott:</t>
        </r>
        <r>
          <rPr>
            <sz val="9"/>
            <color indexed="81"/>
            <rFont val="Tahoma"/>
            <charset val="1"/>
          </rPr>
          <t xml:space="preserve">
Source: PFM Financial Advisors LLC, General Fund Monthly Cashflow Update &amp; Warrant Recommendation, August 11, 2026, Exhibit 1 — July 1, 2025 opening cash position.</t>
        </r>
      </text>
    </comment>
    <comment ref="M25" authorId="0" shapeId="0" xr:uid="{EC9F0967-025C-44B5-9285-6C3CDD395414}">
      <text>
        <r>
          <rPr>
            <b/>
            <sz val="9"/>
            <color indexed="81"/>
            <rFont val="Tahoma"/>
            <charset val="1"/>
          </rPr>
          <t>Michael Parrott:</t>
        </r>
        <r>
          <rPr>
            <sz val="9"/>
            <color indexed="81"/>
            <rFont val="Tahoma"/>
            <charset val="1"/>
          </rPr>
          <t xml:space="preserve">
Source: PFM Financial Advisors LLC, August 11, 2026, Exhibit 1 — June-26 ending cash position. Also cited on slide 4: 'District staff estimate ending FY2026 with $26,311,953'.</t>
        </r>
      </text>
    </comment>
    <comment ref="B29" authorId="0" shapeId="0" xr:uid="{BFD9B7FD-5C1A-4BD4-81D1-97862A68E490}">
      <text>
        <r>
          <rPr>
            <b/>
            <sz val="9"/>
            <color indexed="81"/>
            <rFont val="Tahoma"/>
            <charset val="1"/>
          </rPr>
          <t>Michael Parrott:</t>
        </r>
        <r>
          <rPr>
            <sz val="9"/>
            <color indexed="81"/>
            <rFont val="Tahoma"/>
            <charset val="1"/>
          </rPr>
          <t xml:space="preserve">
Source: PFM Financial Advisors LLC, August 11, 2026, slide 4: 'Revenues were &lt;$649,862&gt; lower than anticipated'.</t>
        </r>
      </text>
    </comment>
    <comment ref="B30" authorId="0" shapeId="0" xr:uid="{26C96633-F897-4F52-BEDF-0679FA82195A}">
      <text>
        <r>
          <rPr>
            <b/>
            <sz val="9"/>
            <color indexed="81"/>
            <rFont val="Tahoma"/>
            <charset val="1"/>
          </rPr>
          <t>Michael Parrott:</t>
        </r>
        <r>
          <rPr>
            <sz val="9"/>
            <color indexed="81"/>
            <rFont val="Tahoma"/>
            <charset val="1"/>
          </rPr>
          <t xml:space="preserve">
Source: PFM Financial Advisors LLC, August 11, 2026, slide 4: 'Expenditures were $5,602,301 lower than anticipated'.</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Michael Parrott</author>
  </authors>
  <commentList>
    <comment ref="B7" authorId="0" shapeId="0" xr:uid="{778E304A-4662-4D9D-B42C-4E8FDFDDAA45}">
      <text>
        <r>
          <rPr>
            <b/>
            <sz val="9"/>
            <color indexed="81"/>
            <rFont val="Tahoma"/>
            <charset val="1"/>
          </rPr>
          <t>Michael Parrott:</t>
        </r>
        <r>
          <rPr>
            <sz val="9"/>
            <color indexed="81"/>
            <rFont val="Tahoma"/>
            <charset val="1"/>
          </rPr>
          <t xml:space="preserve">
Source: PFM Financial Advisors, June 9, 2026, SAVE Exhibit 1, FY2026-27 projected enrollment.</t>
        </r>
      </text>
    </comment>
    <comment ref="B8" authorId="0" shapeId="0" xr:uid="{873B1063-F700-44F7-900F-B067DFC380B7}">
      <text>
        <r>
          <rPr>
            <b/>
            <sz val="9"/>
            <color indexed="81"/>
            <rFont val="Tahoma"/>
            <charset val="1"/>
          </rPr>
          <t>Michael Parrott:</t>
        </r>
        <r>
          <rPr>
            <sz val="9"/>
            <color indexed="81"/>
            <rFont val="Tahoma"/>
            <charset val="1"/>
          </rPr>
          <t xml:space="preserve">
Source: PFM Financial Advisors, June 9, 2026 — SF2472 estimated impact table; FY2026-27 estimated statewide funding per pupil of $1,299.47 after a 12.5% property tax relief transfer.</t>
        </r>
      </text>
    </comment>
    <comment ref="B9" authorId="0" shapeId="0" xr:uid="{C2BB0E31-A99C-4D84-A03A-6FCD5B172299}">
      <text>
        <r>
          <rPr>
            <b/>
            <sz val="9"/>
            <color indexed="81"/>
            <rFont val="Tahoma"/>
            <charset val="1"/>
          </rPr>
          <t>Michael Parrott:</t>
        </r>
        <r>
          <rPr>
            <sz val="9"/>
            <color indexed="81"/>
            <rFont val="Tahoma"/>
            <charset val="1"/>
          </rPr>
          <t xml:space="preserve">
Source: PFM Financial Advisors, June 9, 2026, SAVE Exhibit 1, line 6, FY2026-27.</t>
        </r>
      </text>
    </comment>
    <comment ref="B10" authorId="0" shapeId="0" xr:uid="{942BC865-CE60-4FF1-A441-8E2F79FB5950}">
      <text>
        <r>
          <rPr>
            <b/>
            <sz val="9"/>
            <color indexed="81"/>
            <rFont val="Tahoma"/>
            <charset val="1"/>
          </rPr>
          <t>Michael Parrott:</t>
        </r>
        <r>
          <rPr>
            <sz val="9"/>
            <color indexed="81"/>
            <rFont val="Tahoma"/>
            <charset val="1"/>
          </rPr>
          <t xml:space="preserve">
Source: PFM Financial Advisors, June 9, 2026, SAVE Exhibit 1, line 7, FY2026-27 ($0 — negative cash balance).</t>
        </r>
      </text>
    </comment>
    <comment ref="B13" authorId="0" shapeId="0" xr:uid="{5ECFFEE3-D3AA-4A29-9834-11CBF6286BEF}">
      <text>
        <r>
          <rPr>
            <b/>
            <sz val="9"/>
            <color indexed="81"/>
            <rFont val="Tahoma"/>
            <charset val="1"/>
          </rPr>
          <t>Michael Parrott:</t>
        </r>
        <r>
          <rPr>
            <sz val="9"/>
            <color indexed="81"/>
            <rFont val="Tahoma"/>
            <charset val="1"/>
          </rPr>
          <t xml:space="preserve">
Source: PFM Financial Advisors, June 9, 2026, SAVE Exhibit 1, line 18, FY2026-27 total parity SILO/SAVE bonds.</t>
        </r>
      </text>
    </comment>
    <comment ref="B19" authorId="0" shapeId="0" xr:uid="{282545E6-CD6B-45D7-94C8-307D9C0DD805}">
      <text>
        <r>
          <rPr>
            <b/>
            <sz val="9"/>
            <color indexed="81"/>
            <rFont val="Tahoma"/>
            <charset val="1"/>
          </rPr>
          <t>Michael Parrott:</t>
        </r>
        <r>
          <rPr>
            <sz val="9"/>
            <color indexed="81"/>
            <rFont val="Tahoma"/>
            <charset val="1"/>
          </rPr>
          <t xml:space="preserve">
Source: PFM Financial Advisors, June 9, 2026, SAVE Exhibit 1, line 24, FY2026-27.</t>
        </r>
      </text>
    </comment>
    <comment ref="B20" authorId="0" shapeId="0" xr:uid="{5AA08BE8-5A32-438A-B3AA-2A29AC0D85FE}">
      <text>
        <r>
          <rPr>
            <b/>
            <sz val="9"/>
            <color indexed="81"/>
            <rFont val="Tahoma"/>
            <charset val="1"/>
          </rPr>
          <t>Michael Parrott:</t>
        </r>
        <r>
          <rPr>
            <sz val="9"/>
            <color indexed="81"/>
            <rFont val="Tahoma"/>
            <charset val="1"/>
          </rPr>
          <t xml:space="preserve">
Source: PFM Financial Advisors, June 9, 2026, SAVE Exhibit 1, lines 26-30, FY2026-27 all $0. Technology moves to PPEL due to reduced SAVE revenues under SF2472.</t>
        </r>
      </text>
    </comment>
    <comment ref="B26" authorId="0" shapeId="0" xr:uid="{FAA47C1F-FC3E-4C1D-BA3C-3398D779846E}">
      <text>
        <r>
          <rPr>
            <b/>
            <sz val="9"/>
            <color indexed="81"/>
            <rFont val="Tahoma"/>
            <charset val="1"/>
          </rPr>
          <t>Michael Parrott:</t>
        </r>
        <r>
          <rPr>
            <sz val="9"/>
            <color indexed="81"/>
            <rFont val="Tahoma"/>
            <charset val="1"/>
          </rPr>
          <t xml:space="preserve">
Source: PFM Financial Advisors, June 9, 2026, SAVE Exhibit 1, line 34, FY2026-27 ending unrestricted cash.</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Michael Parrott</author>
  </authors>
  <commentList>
    <comment ref="B7" authorId="0" shapeId="0" xr:uid="{C7D9C41F-12C3-4E3E-8C88-A04B01DB454A}">
      <text>
        <r>
          <rPr>
            <b/>
            <sz val="9"/>
            <color indexed="81"/>
            <rFont val="Tahoma"/>
            <charset val="1"/>
          </rPr>
          <t>Michael Parrott:</t>
        </r>
        <r>
          <rPr>
            <sz val="9"/>
            <color indexed="81"/>
            <rFont val="Tahoma"/>
            <charset val="1"/>
          </rPr>
          <t xml:space="preserve">
Source: PFM Financial Advisors, June 9, 2026, PPEL Exhibit 1a, line 1, FY2027 taxable valuation.</t>
        </r>
      </text>
    </comment>
    <comment ref="B8" authorId="0" shapeId="0" xr:uid="{E5B8D086-C17E-4074-A37C-AA9D6FA01404}">
      <text>
        <r>
          <rPr>
            <b/>
            <sz val="9"/>
            <color indexed="81"/>
            <rFont val="Tahoma"/>
            <charset val="1"/>
          </rPr>
          <t>Michael Parrott:</t>
        </r>
        <r>
          <rPr>
            <sz val="9"/>
            <color indexed="81"/>
            <rFont val="Tahoma"/>
            <charset val="1"/>
          </rPr>
          <t xml:space="preserve">
Source: PFM Financial Advisors, June 9, 2026, PPEL Exhibit 1a, line 2.</t>
        </r>
      </text>
    </comment>
    <comment ref="B9" authorId="0" shapeId="0" xr:uid="{231FC9F7-BA07-4CA4-8A48-2790847ACA7D}">
      <text>
        <r>
          <rPr>
            <b/>
            <sz val="9"/>
            <color indexed="81"/>
            <rFont val="Tahoma"/>
            <charset val="1"/>
          </rPr>
          <t>Michael Parrott:</t>
        </r>
        <r>
          <rPr>
            <sz val="9"/>
            <color indexed="81"/>
            <rFont val="Tahoma"/>
            <charset val="1"/>
          </rPr>
          <t xml:space="preserve">
Source: PFM Financial Advisors, June 9, 2026, PPEL Exhibit 1a, line 3. Voted PPEL levy expires June 30, 2035.</t>
        </r>
      </text>
    </comment>
    <comment ref="B11" authorId="0" shapeId="0" xr:uid="{E4EDA1F3-8CB9-43CB-80BF-38516D55E267}">
      <text>
        <r>
          <rPr>
            <b/>
            <sz val="9"/>
            <color indexed="81"/>
            <rFont val="Tahoma"/>
            <charset val="1"/>
          </rPr>
          <t>Michael Parrott:</t>
        </r>
        <r>
          <rPr>
            <sz val="9"/>
            <color indexed="81"/>
            <rFont val="Tahoma"/>
            <charset val="1"/>
          </rPr>
          <t xml:space="preserve">
Source: PFM Financial Advisors, June 9, 2026, PPEL Exhibit 1a, line 4, FY2027.</t>
        </r>
      </text>
    </comment>
    <comment ref="B12" authorId="0" shapeId="0" xr:uid="{EC260FF2-587C-4913-B1E2-4002F2197A95}">
      <text>
        <r>
          <rPr>
            <b/>
            <sz val="9"/>
            <color indexed="81"/>
            <rFont val="Tahoma"/>
            <charset val="1"/>
          </rPr>
          <t>Michael Parrott:</t>
        </r>
        <r>
          <rPr>
            <sz val="9"/>
            <color indexed="81"/>
            <rFont val="Tahoma"/>
            <charset val="1"/>
          </rPr>
          <t xml:space="preserve">
Source: PFM Financial Advisors, June 9, 2026, PPEL Exhibit 1a, line 5, FY2027.</t>
        </r>
      </text>
    </comment>
    <comment ref="B13" authorId="0" shapeId="0" xr:uid="{ACC88981-86E0-45F8-A074-4FD40B566334}">
      <text>
        <r>
          <rPr>
            <b/>
            <sz val="9"/>
            <color indexed="81"/>
            <rFont val="Tahoma"/>
            <charset val="1"/>
          </rPr>
          <t>Michael Parrott:</t>
        </r>
        <r>
          <rPr>
            <sz val="9"/>
            <color indexed="81"/>
            <rFont val="Tahoma"/>
            <charset val="1"/>
          </rPr>
          <t xml:space="preserve">
Source: PFM Financial Advisors, June 9, 2026, PPEL Exhibit 1a, line 6, FY2027 (2.00% assumed rate).</t>
        </r>
      </text>
    </comment>
    <comment ref="B16" authorId="0" shapeId="0" xr:uid="{67A03EC8-75FA-406B-A089-04FF17FBE6CD}">
      <text>
        <r>
          <rPr>
            <b/>
            <sz val="9"/>
            <color indexed="81"/>
            <rFont val="Tahoma"/>
            <charset val="1"/>
          </rPr>
          <t>Michael Parrott:</t>
        </r>
        <r>
          <rPr>
            <sz val="9"/>
            <color indexed="81"/>
            <rFont val="Tahoma"/>
            <charset val="1"/>
          </rPr>
          <t xml:space="preserve">
Source: PFM Financial Advisors, June 9, 2026, PPEL Exhibit 1a, line 13, FY2027 = $0. Version 1 assumes no borrowing; proposed 2028 GO Capital Loan Notes begin debt service in FY2029.</t>
        </r>
      </text>
    </comment>
    <comment ref="B20" authorId="0" shapeId="0" xr:uid="{15B1897A-AC7D-4D68-9D3B-52CDE395DDB9}">
      <text>
        <r>
          <rPr>
            <b/>
            <sz val="9"/>
            <color indexed="81"/>
            <rFont val="Tahoma"/>
            <charset val="1"/>
          </rPr>
          <t>Michael Parrott:</t>
        </r>
        <r>
          <rPr>
            <sz val="9"/>
            <color indexed="81"/>
            <rFont val="Tahoma"/>
            <charset val="1"/>
          </rPr>
          <t xml:space="preserve">
Source: PFM Financial Advisors, June 9, 2026, PPEL Exhibit 1a, line 29, FY2027.</t>
        </r>
      </text>
    </comment>
    <comment ref="B21" authorId="0" shapeId="0" xr:uid="{0E8BD2E9-07AF-46F5-B2A9-9CDF64433845}">
      <text>
        <r>
          <rPr>
            <b/>
            <sz val="9"/>
            <color indexed="81"/>
            <rFont val="Tahoma"/>
            <charset val="1"/>
          </rPr>
          <t>Michael Parrott:</t>
        </r>
        <r>
          <rPr>
            <sz val="9"/>
            <color indexed="81"/>
            <rFont val="Tahoma"/>
            <charset val="1"/>
          </rPr>
          <t xml:space="preserve">
Source: PFM Financial Advisors, June 9, 2026, PPEL Exhibit 1a, line 30, FY2027. Technology moves to PPEL for the foreseeable future due to reduced SAVE revenues.</t>
        </r>
      </text>
    </comment>
    <comment ref="B22" authorId="0" shapeId="0" xr:uid="{F005B803-8CCE-4D2A-BFE2-4B3CA75B6AC0}">
      <text>
        <r>
          <rPr>
            <b/>
            <sz val="9"/>
            <color indexed="81"/>
            <rFont val="Tahoma"/>
            <charset val="1"/>
          </rPr>
          <t>Michael Parrott:</t>
        </r>
        <r>
          <rPr>
            <sz val="9"/>
            <color indexed="81"/>
            <rFont val="Tahoma"/>
            <charset val="1"/>
          </rPr>
          <t xml:space="preserve">
Source: PFM Financial Advisors, June 9, 2026, PPEL Exhibit 1a, line 31, FY2027. Includes $6,500,000 annual life cycle plus $2,750,000 high school turf replacement.</t>
        </r>
      </text>
    </comment>
    <comment ref="B23" authorId="0" shapeId="0" xr:uid="{614FAACC-BC3B-4990-8CF1-13ABB11C4D38}">
      <text>
        <r>
          <rPr>
            <b/>
            <sz val="9"/>
            <color indexed="81"/>
            <rFont val="Tahoma"/>
            <charset val="1"/>
          </rPr>
          <t>Michael Parrott:</t>
        </r>
        <r>
          <rPr>
            <sz val="9"/>
            <color indexed="81"/>
            <rFont val="Tahoma"/>
            <charset val="1"/>
          </rPr>
          <t xml:space="preserve">
Source: PFM Financial Advisors, June 9, 2026, PPEL Exhibit 1a, line 32, FY2027.</t>
        </r>
      </text>
    </comment>
    <comment ref="B32" authorId="0" shapeId="0" xr:uid="{F5610D9B-350B-44DF-BB91-DF61C5E94086}">
      <text>
        <r>
          <rPr>
            <b/>
            <sz val="9"/>
            <color indexed="81"/>
            <rFont val="Tahoma"/>
            <charset val="1"/>
          </rPr>
          <t>Michael Parrott:</t>
        </r>
        <r>
          <rPr>
            <sz val="9"/>
            <color indexed="81"/>
            <rFont val="Tahoma"/>
            <charset val="1"/>
          </rPr>
          <t xml:space="preserve">
Source: PFM Financial Advisors, June 9, 2026, PPEL Exhibit 1a, line 26, FY2027 ending unrestricted cash.</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Michael Parrott</author>
  </authors>
  <commentList>
    <comment ref="C32" authorId="0" shapeId="0" xr:uid="{86DFFECB-4684-447D-81CF-DF3B0BCBADA9}">
      <text>
        <r>
          <rPr>
            <b/>
            <sz val="9"/>
            <color indexed="81"/>
            <rFont val="Tahoma"/>
            <charset val="1"/>
          </rPr>
          <t>Michael Parrott:</t>
        </r>
        <r>
          <rPr>
            <sz val="9"/>
            <color indexed="81"/>
            <rFont val="Tahoma"/>
            <charset val="1"/>
          </rPr>
          <t xml:space="preserve">
Source: PFM Financial Advisors, August 11, 2026, Exhibit 2, June-27 ending cash position (before proposed $8M draw-down warrant).</t>
        </r>
      </text>
    </comment>
    <comment ref="C33" authorId="0" shapeId="0" xr:uid="{B4BF9867-F5FC-4908-BFD4-E49615B8C02E}">
      <text>
        <r>
          <rPr>
            <b/>
            <sz val="9"/>
            <color indexed="81"/>
            <rFont val="Tahoma"/>
            <charset val="1"/>
          </rPr>
          <t>Michael Parrott:</t>
        </r>
        <r>
          <rPr>
            <sz val="9"/>
            <color indexed="81"/>
            <rFont val="Tahoma"/>
            <charset val="1"/>
          </rPr>
          <t xml:space="preserve">
Source: PFM Financial Advisors, August 11, 2026 — 'Projected March cash balance = $3,552,151'.</t>
        </r>
      </text>
    </comment>
    <comment ref="C57" authorId="0" shapeId="0" xr:uid="{392F1976-99B2-45BE-B12E-C5196C4D9F34}">
      <text>
        <r>
          <rPr>
            <b/>
            <sz val="9"/>
            <color indexed="81"/>
            <rFont val="Tahoma"/>
            <charset val="1"/>
          </rPr>
          <t>Michael Parrott:</t>
        </r>
        <r>
          <rPr>
            <sz val="9"/>
            <color indexed="81"/>
            <rFont val="Tahoma"/>
            <charset val="1"/>
          </rPr>
          <t xml:space="preserve">
Modeled result with Interfund Matrix G6 set to 0 (SAVE fails to repay the $7,759,200 in September 2026). Restored to base after testing.</t>
        </r>
      </text>
    </comment>
    <comment ref="B70" authorId="0" shapeId="0" xr:uid="{BC30E838-B8B9-49DD-BE27-E82B4EA898C5}">
      <text>
        <r>
          <rPr>
            <b/>
            <sz val="9"/>
            <color indexed="81"/>
            <rFont val="Tahoma"/>
            <charset val="1"/>
          </rPr>
          <t>Michael Parrott:</t>
        </r>
        <r>
          <rPr>
            <sz val="9"/>
            <color indexed="81"/>
            <rFont val="Tahoma"/>
            <charset val="1"/>
          </rPr>
          <t xml:space="preserve">
Source: Iowa City CSD FY2024 audited financial statements, Balance Sheet - Governmental Funds, General Fund total fund balances.</t>
        </r>
      </text>
    </comment>
    <comment ref="B71" authorId="0" shapeId="0" xr:uid="{8C13EBA3-3E0F-4606-9FE5-05705B98AB80}">
      <text>
        <r>
          <rPr>
            <b/>
            <sz val="9"/>
            <color indexed="81"/>
            <rFont val="Tahoma"/>
            <charset val="1"/>
          </rPr>
          <t>Michael Parrott:</t>
        </r>
        <r>
          <rPr>
            <sz val="9"/>
            <color indexed="81"/>
            <rFont val="Tahoma"/>
            <charset val="1"/>
          </rPr>
          <t xml:space="preserve">
Source: Iowa City CSD FY2024 audited financial statements, Balance Sheet - Governmental Funds, General Fund unassigned fund balance.</t>
        </r>
      </text>
    </comment>
    <comment ref="B72" authorId="0" shapeId="0" xr:uid="{4C4B197F-65C7-4AEF-BF58-50D5619EBB59}">
      <text>
        <r>
          <rPr>
            <b/>
            <sz val="9"/>
            <color indexed="81"/>
            <rFont val="Tahoma"/>
            <charset val="1"/>
          </rPr>
          <t>Michael Parrott:</t>
        </r>
        <r>
          <rPr>
            <sz val="9"/>
            <color indexed="81"/>
            <rFont val="Tahoma"/>
            <charset val="1"/>
          </rPr>
          <t xml:space="preserve">
Source: Iowa City CSD FY2024 audited financial statements, Statement of Revenues, Expenditures and Changes in Fund Balances, General Fund total revenues.</t>
        </r>
      </text>
    </comment>
    <comment ref="B86" authorId="0" shapeId="0" xr:uid="{917A381F-95D9-4781-A061-2CACC5B1539C}">
      <text>
        <r>
          <rPr>
            <b/>
            <sz val="9"/>
            <color indexed="81"/>
            <rFont val="Tahoma"/>
            <charset val="1"/>
          </rPr>
          <t>Source: Iowa Treasurer of State, Public Funds Rates, https://www.iowatreasurer.gov/for-businesses/public-funds-rates — 'Maximum Rates for Unpaid Warrants (74A.2) &amp; Special Assessments (74A.4): Unpaid Warrants 6.00%; Special Assessments 9.00%'. Set by the committee under Iowa Code 74A.6(2) (treasurer of state, superintendent of banking, superintendent of credit unions, auditor of state). Rate applies unless the parties agree to a lesser rate. Independently corroborated by PFM's own arithmetic: $7,320,000 -&gt; $7,759,200 and $10,000,000 -&gt; $10,600,000, both exactly 6.0%.</t>
        </r>
      </text>
    </comment>
    <comment ref="C101" authorId="0" shapeId="0" xr:uid="{ECA4342B-EF25-43F1-A896-8CCFBBD30DDD}">
      <text>
        <r>
          <rPr>
            <b/>
            <sz val="9"/>
            <color indexed="81"/>
            <rFont val="Tahoma"/>
            <charset val="1"/>
          </rPr>
          <t>Michael Parrott:</t>
        </r>
        <r>
          <rPr>
            <sz val="9"/>
            <color indexed="81"/>
            <rFont val="Tahoma"/>
            <charset val="1"/>
          </rPr>
          <t xml:space="preserve">
Source: Iowa Treasurer of State, Public Funds Rates, https://www.iowatreasurer.gov/for-businesses/public-funds-rates</t>
        </r>
      </text>
    </comment>
    <comment ref="C102" authorId="0" shapeId="0" xr:uid="{28625A43-E429-4E0F-A290-FC61B53E4154}">
      <text>
        <r>
          <rPr>
            <b/>
            <sz val="9"/>
            <color indexed="81"/>
            <rFont val="Tahoma"/>
            <charset val="1"/>
          </rPr>
          <t>Michael Parrott:</t>
        </r>
        <r>
          <rPr>
            <sz val="9"/>
            <color indexed="81"/>
            <rFont val="Tahoma"/>
            <charset val="1"/>
          </rPr>
          <t xml:space="preserve">
Source: Iowa Treasurer of State, Public Funds Rates, https://www.iowatreasurer.gov/for-businesses/public-funds-rates</t>
        </r>
      </text>
    </comment>
    <comment ref="C103" authorId="0" shapeId="0" xr:uid="{37571AEB-CB15-4C37-9C29-5FA663212C3A}">
      <text>
        <r>
          <rPr>
            <b/>
            <sz val="9"/>
            <color indexed="81"/>
            <rFont val="Tahoma"/>
            <charset val="1"/>
          </rPr>
          <t>Michael Parrott:</t>
        </r>
        <r>
          <rPr>
            <sz val="9"/>
            <color indexed="81"/>
            <rFont val="Tahoma"/>
            <charset val="1"/>
          </rPr>
          <t xml:space="preserve">
Source: Iowa Treasurer of State, Public Funds Rates, https://www.iowatreasurer.gov/for-businesses/public-funds-rates — 'A rate equal to 75% of the Federal Reserve monthly published indices for U.S. government securities of comparable maturities.'</t>
        </r>
      </text>
    </comment>
  </commentList>
</comments>
</file>

<file path=xl/sharedStrings.xml><?xml version="1.0" encoding="utf-8"?>
<sst xmlns="http://schemas.openxmlformats.org/spreadsheetml/2006/main" count="398" uniqueCount="336">
  <si>
    <t>Iowa City Community School District</t>
  </si>
  <si>
    <t>FY2027 Consolidated Cashflow Model — Assumptions &amp; Inputs</t>
  </si>
  <si>
    <t>All blue cells are inputs. Black = formulas. Green = links from other tabs.</t>
  </si>
  <si>
    <t>1. FY2026 ENDING / FY2027 OPENING CASH BALANCES</t>
  </si>
  <si>
    <t>Fund</t>
  </si>
  <si>
    <t>7/1/2026 Cash</t>
  </si>
  <si>
    <t>Source</t>
  </si>
  <si>
    <t>General Fund</t>
  </si>
  <si>
    <t>PFM Aug 11, 2026 — Exhibit 2</t>
  </si>
  <si>
    <t>SAVE (Statewide Sales &amp; Services Tax)</t>
  </si>
  <si>
    <t>PFM Jun 9, 2026 — SAVE Exhibit 1</t>
  </si>
  <si>
    <t>PPEL (Physical Plant &amp; Equipment Levy)</t>
  </si>
  <si>
    <t>PFM Jun 9, 2026 — PPEL Exhibit 1a</t>
  </si>
  <si>
    <t>Total modeled funds</t>
  </si>
  <si>
    <t>2. ANTICIPATORY WARRANT (TAXABLE, DRAW-DOWN)</t>
  </si>
  <si>
    <t>Scenario toggle (1 = issue warrant, 0 = no warrant)</t>
  </si>
  <si>
    <t>&lt;- change to 0 to see the no-warrant base case</t>
  </si>
  <si>
    <t>Authorized not-to-exceed amount</t>
  </si>
  <si>
    <t>PFM Aug 11, 2026 recommendation</t>
  </si>
  <si>
    <t>Assumed taxable interest rate (annual, on drawn balance)</t>
  </si>
  <si>
    <t>Estimate — PFM notes no interest cost unless borrowed</t>
  </si>
  <si>
    <t>Minimum General Fund cash floor (triggers a draw)</t>
  </si>
  <si>
    <t>Approx. 2 weeks of payroll + benefits</t>
  </si>
  <si>
    <t>Cash above this level is swept to repay outstanding draws</t>
  </si>
  <si>
    <t>Repayment sweep threshold</t>
  </si>
  <si>
    <t>Draw rounding increment</t>
  </si>
  <si>
    <t>First month a draw is permitted</t>
  </si>
  <si>
    <t>Closing targeted Sept 11, prior to Sept 15 payroll</t>
  </si>
  <si>
    <t>Warrant must be fully repaid by</t>
  </si>
  <si>
    <t>3. INTERFUND LOAN TERMS</t>
  </si>
  <si>
    <t>Insurance Fund loan to General Fund — principal</t>
  </si>
  <si>
    <t>Drawn Aug-25; legally due no later than Sept 1, 2026</t>
  </si>
  <si>
    <t>Insurance Fund loan — repayment incl. interest</t>
  </si>
  <si>
    <t>$600,000 of interest</t>
  </si>
  <si>
    <t>General Fund loan to SAVE (May-26) — principal</t>
  </si>
  <si>
    <t>Funded to make June 1, 2026 SAVE debt service</t>
  </si>
  <si>
    <t>SAVE repayment to General Fund incl. interest</t>
  </si>
  <si>
    <t>$439,200 of interest = 6.0%</t>
  </si>
  <si>
    <t>New GF loan to SAVE for June 1, 2027 debt service</t>
  </si>
  <si>
    <t>Per Aug 11 deck — NOT in PFM's Exhibit 2</t>
  </si>
  <si>
    <t>Third GF loan to SAVE for June 1, 2028 debt service</t>
  </si>
  <si>
    <t>Unidentified repayment out, Nov-26 (per Exhibit 2)</t>
  </si>
  <si>
    <t>Counterparty not identified in PFM materials</t>
  </si>
  <si>
    <t>GF payable to SAVE per FY2024 audit (unscheduled)</t>
  </si>
  <si>
    <t>Excluded from cashflow — timing unknown</t>
  </si>
  <si>
    <t>GF payable to PPEL per FY2024 audit (unscheduled)</t>
  </si>
  <si>
    <t>4. OTHER MODEL INPUTS</t>
  </si>
  <si>
    <t>Include the two new May-27 SAVE loans in GF cashflow? (1/0)</t>
  </si>
  <si>
    <t>0 reproduces PFM's Aug 11 Exhibit 2 exactly</t>
  </si>
  <si>
    <t>Interest rate charged on new GF loans to SAVE</t>
  </si>
  <si>
    <t>Implied from the $7,320,000 / $7,759,200 loan</t>
  </si>
  <si>
    <t>Days cash on hand — daily expenditure basis</t>
  </si>
  <si>
    <t>Total FY27 GF expenditures / 365</t>
  </si>
  <si>
    <t>5. RECONCILIATION OF SOURCE DOCUMENTS</t>
  </si>
  <si>
    <t>Document</t>
  </si>
  <si>
    <t>Date</t>
  </si>
  <si>
    <t>Role in this model</t>
  </si>
  <si>
    <t>PFM — GF Monthly Cashflow Update &amp; Warrant Recommendation</t>
  </si>
  <si>
    <t>PRIMARY — GF FY27 monthly operating lines and FY26 actual ending cash</t>
  </si>
  <si>
    <t>PFM — Capital Funding Capacity: SAVE &amp; PPEL Analyses</t>
  </si>
  <si>
    <t>PRIMARY — SAVE and PPEL FY27 revenue, debt service and capital outlay</t>
  </si>
  <si>
    <t>PFM — YTD GF Fiscal Progress &amp; Need to Issue Warrants</t>
  </si>
  <si>
    <t>SUPERSEDED — retained only as a variance benchmark</t>
  </si>
  <si>
    <t>Independent Auditor's Report, FY ended June 30, 2024</t>
  </si>
  <si>
    <t>FY2024</t>
  </si>
  <si>
    <t>Interfund receivable/payable balances and Finding 2024-008</t>
  </si>
  <si>
    <t>Interfund Transfer Matrix — FY2027</t>
  </si>
  <si>
    <t>Every interfund flow is entered ONCE here. Each fund tab pulls its inflows and outflows from this table, so every transfer is booked exactly twice and the system nets to zero.</t>
  </si>
  <si>
    <t>#</t>
  </si>
  <si>
    <t>Description</t>
  </si>
  <si>
    <t>Paying Fund</t>
  </si>
  <si>
    <t>Receiving Fund</t>
  </si>
  <si>
    <t>Month</t>
  </si>
  <si>
    <t>Gross Amount</t>
  </si>
  <si>
    <t>Incl.</t>
  </si>
  <si>
    <t>Modeled Amount</t>
  </si>
  <si>
    <t>Type</t>
  </si>
  <si>
    <t>Source / Note</t>
  </si>
  <si>
    <t>Repay Self-Insurance Fund interfund loan (incl. $600k interest)</t>
  </si>
  <si>
    <t>Insurance</t>
  </si>
  <si>
    <t>Loan repayment OUT</t>
  </si>
  <si>
    <t>PFM Aug 11, 2026 — Exhibit 2 &amp; Interfund Loans Update</t>
  </si>
  <si>
    <t>SAVE repays General Fund interfund loan (incl. $439k interest)</t>
  </si>
  <si>
    <t>SAVE</t>
  </si>
  <si>
    <t>Loan repayment IN</t>
  </si>
  <si>
    <t>PFM Aug 11, 2026 — Exhibit 2 &amp; SAVE Exhibit 1 (FY27 transfers out)</t>
  </si>
  <si>
    <t>Loan repayment out — counterparty fund not identified by PFM</t>
  </si>
  <si>
    <t>Unidentified</t>
  </si>
  <si>
    <t>PFM Aug 11, 2026 — Exhibit 2, Nov-26. OPEN ITEM: confirm counterparty</t>
  </si>
  <si>
    <t>New GF interfund loan to SAVE for June 1, 2027 debt service</t>
  </si>
  <si>
    <t>New loan OUT</t>
  </si>
  <si>
    <t>PFM Aug 11, 2026 — narrative only; NOT in PFM's Exhibit 2</t>
  </si>
  <si>
    <t>Third GF interfund loan to SAVE for June 1, 2028 debt service</t>
  </si>
  <si>
    <t>MEMO: GF payable to SAVE per FY2024 audit — timing unknown</t>
  </si>
  <si>
    <t>n/a</t>
  </si>
  <si>
    <t>Unscheduled payable</t>
  </si>
  <si>
    <t>PFM Aug 11, 2026 — excluded pending FY2025 audit</t>
  </si>
  <si>
    <t>MEMO: GF payable to PPEL per FY2024 audit — timing unknown</t>
  </si>
  <si>
    <t>PPEL</t>
  </si>
  <si>
    <t>Total modeled interfund flows</t>
  </si>
  <si>
    <t>General Fund Monthly Cashflow — FY 2026-27</t>
  </si>
  <si>
    <t>Operating lines per PFM Aug 11, 2026 Exhibit 2. Interfund lines driven by the Interfund Matrix. Warrant activity driven by the Assumptions toggle.</t>
  </si>
  <si>
    <t>Opening Cash Position</t>
  </si>
  <si>
    <t>State Aid</t>
  </si>
  <si>
    <t>Local Taxes</t>
  </si>
  <si>
    <t>Other GF Revenues</t>
  </si>
  <si>
    <t>Interfund Loan Repayments IN</t>
  </si>
  <si>
    <t>Warrant Draws</t>
  </si>
  <si>
    <t>Total Income</t>
  </si>
  <si>
    <t>Payroll &amp; Benefits</t>
  </si>
  <si>
    <t>Other General Expenses</t>
  </si>
  <si>
    <t>Interfund Loans / Repayments OUT</t>
  </si>
  <si>
    <t>Warrant Repayments</t>
  </si>
  <si>
    <t>Warrant Interest</t>
  </si>
  <si>
    <t>Total Expenses</t>
  </si>
  <si>
    <t>Net Change in Position</t>
  </si>
  <si>
    <t>Ending Cash Position</t>
  </si>
  <si>
    <t>MEMO — ANTICIPATORY WARRANT</t>
  </si>
  <si>
    <t>Warrant balance, beginning</t>
  </si>
  <si>
    <t>Draw</t>
  </si>
  <si>
    <t>Repayment</t>
  </si>
  <si>
    <t>Warrant balance, ending</t>
  </si>
  <si>
    <t>Remaining authorized capacity</t>
  </si>
  <si>
    <t>Draw window open (1/0)</t>
  </si>
  <si>
    <t>Cash before warrant activity</t>
  </si>
  <si>
    <t>MEMO — LIQUIDITY</t>
  </si>
  <si>
    <t>Days cash on hand (ending)</t>
  </si>
  <si>
    <t>Below minimum cash floor?</t>
  </si>
  <si>
    <t>FY2027 Total</t>
  </si>
  <si>
    <t>SAVE Fund Cashflow — FY 2026-27</t>
  </si>
  <si>
    <t>Operating lines per PFM Jun 9, 2026 Exhibit 1. Interfund lines driven by the Interfund Matrix.</t>
  </si>
  <si>
    <t>Line</t>
  </si>
  <si>
    <t>FY2027</t>
  </si>
  <si>
    <t>Beginning unrestricted cash</t>
  </si>
  <si>
    <t>Assumptions tab</t>
  </si>
  <si>
    <t>Projected enrollment</t>
  </si>
  <si>
    <t>Statewide payout per pupil (post-SF2472)</t>
  </si>
  <si>
    <t>PFM Jun 9, 2026 — SF2472 impact table</t>
  </si>
  <si>
    <t>Annual SAVE revenues</t>
  </si>
  <si>
    <t>PFM Jun 9, 2026 — SAVE Exhibit 1, line 6</t>
  </si>
  <si>
    <t>Interest income</t>
  </si>
  <si>
    <t>PFM Jun 9, 2026 — SAVE Exhibit 1, line 7</t>
  </si>
  <si>
    <t>Total revenue available for debt service</t>
  </si>
  <si>
    <t>Total parity SILO/SAVE bond debt service</t>
  </si>
  <si>
    <t>PFM Jun 9, 2026 — SAVE Exhibit 1, line 18</t>
  </si>
  <si>
    <t>Debt service coverage (x)</t>
  </si>
  <si>
    <t>Cashflow after debt service</t>
  </si>
  <si>
    <t>Interfund loans received from General Fund</t>
  </si>
  <si>
    <t>Interfund Matrix rows 4 &amp; 5 (May-27)</t>
  </si>
  <si>
    <t>Interfund loan repayments to General Fund</t>
  </si>
  <si>
    <t>Interfund Matrix row 2 (Sep-26)</t>
  </si>
  <si>
    <t>Other revenues / (expenses)</t>
  </si>
  <si>
    <t>PFM Jun 9, 2026 — SAVE Exhibit 1, line 24</t>
  </si>
  <si>
    <t>Capital outlays (technology moved to PPEL per SF2472)</t>
  </si>
  <si>
    <t>Total interfund &amp; other adjustments</t>
  </si>
  <si>
    <t>Annual surplus / (deficit)</t>
  </si>
  <si>
    <t>Ending unrestricted cash (6/30/2027)</t>
  </si>
  <si>
    <t>MEMO — PFM Jun 9, 2026 SAVE Exhibit 1 ending cash</t>
  </si>
  <si>
    <t>Variance vs. this model</t>
  </si>
  <si>
    <t>Variance = the two May-27 GF loans PFM described but did not model</t>
  </si>
  <si>
    <t>Note: PFM's SAVE exhibit shows FY2028 and FY2029 transfers out of $5,459,000 and $1,590,000 — the repayment of these new loans. Those sit outside the FY2027 window modeled here.</t>
  </si>
  <si>
    <t>PPEL Fund Cashflow — FY 2026-27</t>
  </si>
  <si>
    <t>Per PFM Jun 9, 2026 Exhibit 1a (Version 1: Life Cycle Projects &amp; Technology only — no borrowing). Interfund lines driven by the Interfund Matrix.</t>
  </si>
  <si>
    <t>Taxable valuation</t>
  </si>
  <si>
    <t>PFM Jun 9, 2026 — PPEL Exhibit 1a, line 1</t>
  </si>
  <si>
    <t>Regular levy rate (per $1,000)</t>
  </si>
  <si>
    <t>Voted levy rate (per $1,000)</t>
  </si>
  <si>
    <t>Regular levy revenue</t>
  </si>
  <si>
    <t>PFM Jun 9, 2026 — PPEL Exhibit 1a, line 4</t>
  </si>
  <si>
    <t>Voted levy revenue</t>
  </si>
  <si>
    <t>PFM Jun 9, 2026 — PPEL Exhibit 1a, line 5</t>
  </si>
  <si>
    <t>PFM Jun 9, 2026 — PPEL Exhibit 1a, line 6</t>
  </si>
  <si>
    <t>Total revenue</t>
  </si>
  <si>
    <t>PPEL debt service (Series 2014 matured FY2025)</t>
  </si>
  <si>
    <t>PFM Jun 9, 2026 — PPEL Exhibit 1a, line 13</t>
  </si>
  <si>
    <t>CAPITAL OUTLAYS</t>
  </si>
  <si>
    <t>Operation &amp; maintenance</t>
  </si>
  <si>
    <t>Technology (moved from SAVE due to SF2472)</t>
  </si>
  <si>
    <t>Life cycle (buildings, roof, sites, turf) incl. City &amp; West HS turf</t>
  </si>
  <si>
    <t>Other capital outlays</t>
  </si>
  <si>
    <t>Total capital outlays</t>
  </si>
  <si>
    <t>Interfund transfers in from other funds</t>
  </si>
  <si>
    <t>Interfund Matrix — receiving fund = PPEL</t>
  </si>
  <si>
    <t>Interfund transfers out to other funds</t>
  </si>
  <si>
    <t>Interfund Matrix — paying fund = PPEL</t>
  </si>
  <si>
    <t>MEMO — PFM Jun 9, 2026 PPEL Exhibit 1a ending cash</t>
  </si>
  <si>
    <t>Note: the FY2024 audit shows the General Fund owes PPEL $3,000,000. That payable is carried as a memo item in the Interfund Matrix (row 7, excluded) because PFM gives no repayment timing. Including it would raise PPEL FY2027 ending cash to roughly $5.2M and reduce General Fund cash by the same amount.</t>
  </si>
  <si>
    <t>FY2027 Consolidated Cashflow Summary &amp; Model Checks</t>
  </si>
  <si>
    <t>1. CASH POSITION BY FUND — FY2027</t>
  </si>
  <si>
    <t>Opening 7/1/26</t>
  </si>
  <si>
    <t>Net Change</t>
  </si>
  <si>
    <t>Ending 6/30/27</t>
  </si>
  <si>
    <t>2. INTERFUND RECONCILIATION — EVERY FLOW MUST BOOK TWICE</t>
  </si>
  <si>
    <t>Transfers In</t>
  </si>
  <si>
    <t>Transfers Out</t>
  </si>
  <si>
    <t>Net</t>
  </si>
  <si>
    <t>Total — must equal zero</t>
  </si>
  <si>
    <t>3. GENERAL FUND LIQUIDITY — FY2027</t>
  </si>
  <si>
    <t>Lowest monthly ending cash</t>
  </si>
  <si>
    <t>Second-lowest month</t>
  </si>
  <si>
    <t>Ending cash 6/30/2027</t>
  </si>
  <si>
    <t>Days cash on hand at 6/30/2027</t>
  </si>
  <si>
    <t>days</t>
  </si>
  <si>
    <t>Months ending below the minimum cash floor</t>
  </si>
  <si>
    <t>Peak warrant balance outstanding</t>
  </si>
  <si>
    <t>Total warrant draws in FY2027</t>
  </si>
  <si>
    <t>Total warrant interest cost</t>
  </si>
  <si>
    <t>Warrant balance at 6/30/2027 — must be zero</t>
  </si>
  <si>
    <t>4. RECONCILIATION TO PFM'S PUBLISHED EXHIBITS</t>
  </si>
  <si>
    <t>Measure</t>
  </si>
  <si>
    <t>This Model</t>
  </si>
  <si>
    <t>PFM Published</t>
  </si>
  <si>
    <t>Variance</t>
  </si>
  <si>
    <t>Explanation</t>
  </si>
  <si>
    <t>GF ending cash 6/30/2027</t>
  </si>
  <si>
    <t>The two May-27 SAVE loans ($8.6M) plus warrant interest</t>
  </si>
  <si>
    <t>GF lowest monthly cash</t>
  </si>
  <si>
    <t>Warrant draw lifts the March trough to the cash floor</t>
  </si>
  <si>
    <t>SAVE ending cash 6/30/2027</t>
  </si>
  <si>
    <t>Receives the $8.6M PFM described but did not model</t>
  </si>
  <si>
    <t>PPEL ending cash 6/30/2027</t>
  </si>
  <si>
    <t>Ties (rounding)</t>
  </si>
  <si>
    <t>5. OPEN ITEMS &amp; DATA GAPS</t>
  </si>
  <si>
    <t>Issue</t>
  </si>
  <si>
    <t>Amount</t>
  </si>
  <si>
    <t>Treatment in this model</t>
  </si>
  <si>
    <t>Nov-26 'Loan Repayments OUT' in PFM Exhibit 2 has no named counterparty fund</t>
  </si>
  <si>
    <t>Booked to a placeholder 'Unidentified' fund — confirm with District staff</t>
  </si>
  <si>
    <t>Two May-27 GF loans to SAVE described in the Aug 11 narrative but absent from Exhibit 2</t>
  </si>
  <si>
    <t>Included per your direction. Toggle at Assumptions!B34 to exclude</t>
  </si>
  <si>
    <t>FY2024 audit: General Fund owes SAVE $4M and PPEL $3M — no repayment schedule given</t>
  </si>
  <si>
    <t>Memo only (Interfund Matrix rows 6-7, Incl.=0). Would cut GF cash to c.$1.5M</t>
  </si>
  <si>
    <t>SAVE's own exhibit does not show receiving the new loans; it shows FY28/FY29 repayments of $5,459,000 and $1,590,000</t>
  </si>
  <si>
    <t>SAVE FY27 ending cash is $8.6M higher than PFM's exhibit as a result</t>
  </si>
  <si>
    <t>FY2025 audit still in process; SAVE cash balance described as 'highly strained' and may not repay in September</t>
  </si>
  <si>
    <t>Assumed received Sep-26. Set Interfund Matrix G6 to 0 to stress-test</t>
  </si>
  <si>
    <t>Warrant interest rate is an estimate — no bank terms were received in the April process</t>
  </si>
  <si>
    <t>5.50% assumed at Assumptions!B15</t>
  </si>
  <si>
    <t>Prepared from PFM Financial Advisors materials dated April 28, June 9 and August 11, 2026, and the District's FY2024 audited financial statements.</t>
  </si>
  <si>
    <t>6. GENERAL FUND SOLVENCY INDICATORS AT 6/30/2027</t>
  </si>
  <si>
    <t>Indicator</t>
  </si>
  <si>
    <t>Base case</t>
  </si>
  <si>
    <t>SAVE Sept fails</t>
  </si>
  <si>
    <t>Benchmark</t>
  </si>
  <si>
    <t>Comment</t>
  </si>
  <si>
    <t>STRUCTURAL — operating result (excludes all interfund &amp; warrant activity)</t>
  </si>
  <si>
    <t>GF operating revenues</t>
  </si>
  <si>
    <t>GF operating expenditures</t>
  </si>
  <si>
    <t>Operating surplus / (deficit)</t>
  </si>
  <si>
    <t>Recurring revenues do not cover recurring costs in FY2027</t>
  </si>
  <si>
    <t>Operating margin (deficit as % of revenues)</t>
  </si>
  <si>
    <t>Breakeven is the benchmark; negative means the fund is consuming reserves</t>
  </si>
  <si>
    <t>LIQUIDITY — cash position</t>
  </si>
  <si>
    <t>GF cash 6/30/2027</t>
  </si>
  <si>
    <t>Days cash on hand (operating expenditure basis)</t>
  </si>
  <si>
    <t>60 days is a common rating-agency comfort level; PFM cited 30-35 days as adequate</t>
  </si>
  <si>
    <t>Cash as % of annual operating expenditures</t>
  </si>
  <si>
    <t>8.33% equals one month of operating cost</t>
  </si>
  <si>
    <t>Lowest monthly cash during FY2027</t>
  </si>
  <si>
    <t>Base trough is held up only by the March warrant draw</t>
  </si>
  <si>
    <t>CLAIMS ON CASH — obligations not yet scheduled in the model</t>
  </si>
  <si>
    <t>GF cash 6/30/2027 as modeled</t>
  </si>
  <si>
    <t>Less: GF payable to SAVE per FY2024 audit</t>
  </si>
  <si>
    <t>Less: GF payable to PPEL per FY2024 audit</t>
  </si>
  <si>
    <t>Pro-forma GF cash after settling audit payables</t>
  </si>
  <si>
    <t>Pro-forma days cash on hand</t>
  </si>
  <si>
    <t>This is the figure that determines whether July 2027 payroll can be met</t>
  </si>
  <si>
    <t>FUND BALANCE / IOWA SOLVENCY RATIO — last audited actual</t>
  </si>
  <si>
    <t>GF total fund balance at 6/30/2024 (audited)</t>
  </si>
  <si>
    <t>GF unassigned fund balance at 6/30/2024 (audited)</t>
  </si>
  <si>
    <t>GF total revenues FY2024 (audited)</t>
  </si>
  <si>
    <t>Iowa solvency ratio at 6/30/2024 (unassigned / revenues)</t>
  </si>
  <si>
    <t>5%-15% is the range Iowa districts generally target</t>
  </si>
  <si>
    <t>NOT PROJECTED: FY2027 fund balance cannot be derived from this cash model</t>
  </si>
  <si>
    <t>Requires accrual data; FY2025 audit still in process, FY2026 not started</t>
  </si>
  <si>
    <t>7. SCENARIO — IF THE FY2024 INTERFUND PAYABLES WERE NOT REPAID IN FY2025</t>
  </si>
  <si>
    <t>If unrepaid, the cash is physically in the General Fund but belongs to SAVE and PPEL. Restating 7/1/2026 openings:</t>
  </si>
  <si>
    <t>As modeled</t>
  </si>
  <si>
    <t>Owed to / (by)</t>
  </si>
  <si>
    <t>Restated opening</t>
  </si>
  <si>
    <t>True unencumbered opening cash is c.$7M lower than reported</t>
  </si>
  <si>
    <t>SAVE would be cash-POSITIVE, not negative, if the GF had repaid</t>
  </si>
  <si>
    <t>Total — unchanged in aggregate</t>
  </si>
  <si>
    <t>Interfund debt moves cash between funds; it creates none</t>
  </si>
  <si>
    <t>Accrued interest owed by the General Fund under Iowa Code §74A.6(2)</t>
  </si>
  <si>
    <t>Unpaid principal</t>
  </si>
  <si>
    <t>Years outstanding past the 10/1/2024 deadline (to 6/30/2027)</t>
  </si>
  <si>
    <t>Estimated accrued interest owed to SAVE and PPEL</t>
  </si>
  <si>
    <t>Not provided for anywhere in PFM's exhibits</t>
  </si>
  <si>
    <t>Total GF obligation if settled at 6/30/2027 (principal + interest)</t>
  </si>
  <si>
    <t>GF cash at 6/30/2027 after settling principal and interest</t>
  </si>
  <si>
    <t>The circularity this creates</t>
  </si>
  <si>
    <t>SAVE cash shortfall that triggered the May-2026 emergency loan</t>
  </si>
  <si>
    <t>Less: SAVE's own money held by the General Fund</t>
  </si>
  <si>
    <t>Loan SAVE would have needed had the GF repaid it</t>
  </si>
  <si>
    <t>Interest SAVE now pays the GF in Sept-2026 on that loan</t>
  </si>
  <si>
    <t>SAVE pays the GF interest on money the GF borrowed from SAVE</t>
  </si>
  <si>
    <t>Interest rate — §74A.2 maximum for unpaid warrants (set under §74A.6(2))</t>
  </si>
  <si>
    <t>Statutory ceiling — a lesser rate may be agreed by resolution, so B88 is an upper bound</t>
  </si>
  <si>
    <t>IOWA INTEREST RATE FRAMEWORK (reference)</t>
  </si>
  <si>
    <t>Citation</t>
  </si>
  <si>
    <t>Rate</t>
  </si>
  <si>
    <t>Relevance here</t>
  </si>
  <si>
    <t>§74A.2 Unpaid warrants</t>
  </si>
  <si>
    <t>Maximum</t>
  </si>
  <si>
    <t>Rate PFM applied to the SAVE and Insurance interfund loans</t>
  </si>
  <si>
    <t>§74A.4 Special assessments</t>
  </si>
  <si>
    <t>Not applicable to the District's situation</t>
  </si>
  <si>
    <t>§74A.3 / §74A.7 Public obligations &amp; school district warrants</t>
  </si>
  <si>
    <t>Recommended</t>
  </si>
  <si>
    <t>75% of Fed indices</t>
  </si>
  <si>
    <t>Applies to the proposed anticipatory warrant — but §74A.7(1) leaves the rate to the Board</t>
  </si>
  <si>
    <t>General Fund Monthly Cashflow</t>
  </si>
  <si>
    <t>FY 2025-26 — Actual / Estimated (PFM Exhibit 1, August 11, 2026)</t>
  </si>
  <si>
    <t>FY2026 Total</t>
  </si>
  <si>
    <t>GF Warrant Proceeds</t>
  </si>
  <si>
    <t>Loan Repayments IN</t>
  </si>
  <si>
    <t>ERate Refunding to SAVE</t>
  </si>
  <si>
    <t>Interfund Loans Out</t>
  </si>
  <si>
    <t>Loan Repayments OUT</t>
  </si>
  <si>
    <t>Net Change In position</t>
  </si>
  <si>
    <t>CHECK — vs PFM Exhibit 1 published ending balances</t>
  </si>
  <si>
    <t>PFM published</t>
  </si>
  <si>
    <t>Variance (rounding)</t>
  </si>
  <si>
    <t>FY2026 net variance vs PFM's April 28 projection (per Aug 11 slide 4)</t>
  </si>
  <si>
    <t>Revenue variance</t>
  </si>
  <si>
    <t>Expenditure variance</t>
  </si>
  <si>
    <t>Net positive variance</t>
  </si>
  <si>
    <t>vs PFM stated +$4,952,439</t>
  </si>
  <si>
    <t>Days cash on hand (beginning)</t>
  </si>
  <si>
    <t>avg</t>
  </si>
  <si>
    <t>min</t>
  </si>
  <si>
    <t>median</t>
  </si>
  <si>
    <t>max</t>
  </si>
  <si>
    <t>open</t>
  </si>
  <si>
    <t>close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</si>
</sst>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7" formatCode="&quot;$&quot;#,##0.00_);\(&quot;$&quot;#,##0.00\)"/>
    <numFmt numFmtId="43" formatCode="_(* #,##0.00_);_(* \(#,##0.00\);_(* &quot;-&quot;??_);_(@_)"/>
    <numFmt numFmtId="164" formatCode="&quot;$&quot;#,##0;\(&quot;$&quot;#,##0\);\-"/>
    <numFmt numFmtId="165" formatCode="&quot;$&quot;#,##0.00"/>
    <numFmt numFmtId="166" formatCode="0.00\x"/>
    <numFmt numFmtId="167" formatCode="&quot;$&quot;0.00"/>
    <numFmt numFmtId="168" formatCode="0.0%"/>
    <numFmt numFmtId="169" formatCode="0.0"/>
    <numFmt numFmtId="170" formatCode="#,##0;\(#,##0\);\-"/>
    <numFmt numFmtId="171" formatCode="_(* #,##0_);_(* \(#,##0\);_(* &quot;-&quot;??_);_(@_)"/>
    <numFmt numFmtId="172" formatCode="_([$$-409]* #,##0_);_([$$-409]* \(#,##0\);_([$$-409]* &quot;-&quot;??_);_(@_)"/>
  </numFmts>
  <fonts count="25" x14ac:knownFonts="1">
    <font>
      <sz val="11"/>
      <color theme="1"/>
      <name val="Aptos Narrow"/>
      <family val="2"/>
      <scheme val="minor"/>
    </font>
    <font>
      <sz val="11"/>
      <color rgb="FFFF0000"/>
      <name val="Aptos Narrow"/>
      <family val="2"/>
      <scheme val="minor"/>
    </font>
    <font>
      <b/>
      <sz val="11"/>
      <color theme="1"/>
      <name val="Aptos Narrow"/>
      <family val="2"/>
      <scheme val="minor"/>
    </font>
    <font>
      <b/>
      <sz val="14"/>
      <color theme="1"/>
      <name val="Aptos Narrow"/>
      <family val="2"/>
      <scheme val="minor"/>
    </font>
    <font>
      <b/>
      <sz val="12"/>
      <color theme="1"/>
      <name val="Aptos Narrow"/>
      <family val="2"/>
      <scheme val="minor"/>
    </font>
    <font>
      <i/>
      <sz val="11"/>
      <color rgb="FF595959"/>
      <name val="Aptos Narrow"/>
      <family val="2"/>
      <scheme val="minor"/>
    </font>
    <font>
      <b/>
      <sz val="11"/>
      <color rgb="FFFFFFFF"/>
      <name val="Aptos Narrow"/>
      <family val="2"/>
      <scheme val="minor"/>
    </font>
    <font>
      <sz val="11"/>
      <color rgb="FF0000FF"/>
      <name val="Aptos Narrow"/>
      <family val="2"/>
      <scheme val="minor"/>
    </font>
    <font>
      <sz val="9"/>
      <color indexed="81"/>
      <name val="Tahoma"/>
      <charset val="1"/>
    </font>
    <font>
      <b/>
      <sz val="9"/>
      <color indexed="81"/>
      <name val="Tahoma"/>
      <charset val="1"/>
    </font>
    <font>
      <b/>
      <sz val="11"/>
      <color rgb="FF0000FF"/>
      <name val="Aptos Narrow"/>
      <family val="2"/>
      <scheme val="minor"/>
    </font>
    <font>
      <sz val="11"/>
      <color rgb="FF008000"/>
      <name val="Aptos Narrow"/>
      <family val="2"/>
      <scheme val="minor"/>
    </font>
    <font>
      <b/>
      <sz val="11"/>
      <color rgb="FF008000"/>
      <name val="Aptos Narrow"/>
      <family val="2"/>
      <scheme val="minor"/>
    </font>
    <font>
      <b/>
      <sz val="11"/>
      <color rgb="FFFF0000"/>
      <name val="Aptos Narrow"/>
      <family val="2"/>
      <scheme val="minor"/>
    </font>
    <font>
      <b/>
      <i/>
      <sz val="11"/>
      <color theme="1"/>
      <name val="Aptos Narrow"/>
      <family val="2"/>
      <scheme val="minor"/>
    </font>
    <font>
      <sz val="11"/>
      <color rgb="FFC00000"/>
      <name val="Aptos Narrow"/>
      <family val="2"/>
      <scheme val="minor"/>
    </font>
    <font>
      <i/>
      <sz val="11"/>
      <color rgb="FFC00000"/>
      <name val="Aptos Narrow"/>
      <family val="2"/>
      <scheme val="minor"/>
    </font>
    <font>
      <i/>
      <sz val="11"/>
      <color theme="1"/>
      <name val="Aptos Narrow"/>
      <family val="2"/>
      <scheme val="minor"/>
    </font>
    <font>
      <b/>
      <sz val="14"/>
      <color theme="1"/>
      <name val="Calibri"/>
    </font>
    <font>
      <sz val="11"/>
      <color theme="1"/>
      <name val="Calibri"/>
    </font>
    <font>
      <i/>
      <sz val="12"/>
      <color rgb="FF0000FF"/>
      <name val="Calibri"/>
    </font>
    <font>
      <b/>
      <i/>
      <sz val="11"/>
      <color theme="1"/>
      <name val="Calibri"/>
    </font>
    <font>
      <b/>
      <sz val="11"/>
      <color theme="1"/>
      <name val="Calibri"/>
    </font>
    <font>
      <b/>
      <sz val="11"/>
      <color rgb="FF0000FF"/>
      <name val="Calibri"/>
    </font>
    <font>
      <sz val="11"/>
      <color theme="1"/>
      <name val="Aptos Narrow"/>
      <family val="2"/>
      <scheme val="minor"/>
    </font>
  </fonts>
  <fills count="8">
    <fill>
      <patternFill patternType="none"/>
    </fill>
    <fill>
      <patternFill patternType="gray125"/>
    </fill>
    <fill>
      <patternFill patternType="solid">
        <fgColor rgb="FF1F3864"/>
        <bgColor indexed="64"/>
      </patternFill>
    </fill>
    <fill>
      <patternFill patternType="solid">
        <fgColor rgb="FFFFFF00"/>
        <bgColor indexed="64"/>
      </patternFill>
    </fill>
    <fill>
      <patternFill patternType="solid">
        <fgColor rgb="FFD9E2F3"/>
        <bgColor indexed="64"/>
      </patternFill>
    </fill>
    <fill>
      <patternFill patternType="solid">
        <fgColor rgb="FFC00000"/>
        <bgColor indexed="64"/>
      </patternFill>
    </fill>
    <fill>
      <patternFill patternType="solid">
        <fgColor rgb="FFC6EFCE"/>
        <bgColor indexed="64"/>
      </patternFill>
    </fill>
    <fill>
      <patternFill patternType="solid">
        <fgColor rgb="FFFFF2CC"/>
        <bgColor indexed="64"/>
      </patternFill>
    </fill>
  </fills>
  <borders count="3">
    <border>
      <left/>
      <right/>
      <top/>
      <bottom/>
      <diagonal/>
    </border>
    <border>
      <left/>
      <right/>
      <top style="thin">
        <color auto="1"/>
      </top>
      <bottom/>
      <diagonal/>
    </border>
    <border>
      <left/>
      <right/>
      <top/>
      <bottom style="thin">
        <color auto="1"/>
      </bottom>
      <diagonal/>
    </border>
  </borders>
  <cellStyleXfs count="3">
    <xf numFmtId="0" fontId="0" fillId="0" borderId="0"/>
    <xf numFmtId="43" fontId="24" fillId="0" borderId="0" applyFont="0" applyFill="0" applyBorder="0" applyAlignment="0" applyProtection="0"/>
    <xf numFmtId="9" fontId="24" fillId="0" borderId="0" applyFont="0" applyFill="0" applyBorder="0" applyAlignment="0" applyProtection="0"/>
  </cellStyleXfs>
  <cellXfs count="83">
    <xf numFmtId="0" fontId="0" fillId="0" borderId="0" xfId="0"/>
    <xf numFmtId="0" fontId="3" fillId="0" borderId="0" xfId="0" applyFont="1"/>
    <xf numFmtId="0" fontId="4" fillId="0" borderId="0" xfId="0" applyFont="1"/>
    <xf numFmtId="0" fontId="5" fillId="0" borderId="0" xfId="0" applyFont="1"/>
    <xf numFmtId="0" fontId="6" fillId="2" borderId="0" xfId="0" applyFont="1" applyFill="1"/>
    <xf numFmtId="0" fontId="0" fillId="2" borderId="0" xfId="0" applyFill="1"/>
    <xf numFmtId="0" fontId="2" fillId="0" borderId="0" xfId="0" applyFont="1"/>
    <xf numFmtId="0" fontId="2" fillId="0" borderId="0" xfId="0" applyFont="1" applyAlignment="1">
      <alignment horizontal="right"/>
    </xf>
    <xf numFmtId="164" fontId="7" fillId="0" borderId="0" xfId="0" applyNumberFormat="1" applyFont="1"/>
    <xf numFmtId="164" fontId="2" fillId="0" borderId="0" xfId="0" applyNumberFormat="1" applyFont="1"/>
    <xf numFmtId="0" fontId="10" fillId="3" borderId="0" xfId="0" applyFont="1" applyFill="1" applyAlignment="1">
      <alignment horizontal="center"/>
    </xf>
    <xf numFmtId="10" fontId="7" fillId="0" borderId="0" xfId="0" applyNumberFormat="1" applyFont="1"/>
    <xf numFmtId="0" fontId="1" fillId="0" borderId="0" xfId="0" applyFont="1"/>
    <xf numFmtId="10" fontId="0" fillId="0" borderId="0" xfId="0" applyNumberFormat="1"/>
    <xf numFmtId="164" fontId="11" fillId="0" borderId="0" xfId="0" applyNumberFormat="1" applyFont="1"/>
    <xf numFmtId="15" fontId="0" fillId="0" borderId="0" xfId="0" applyNumberFormat="1"/>
    <xf numFmtId="0" fontId="6" fillId="2" borderId="0" xfId="0" applyFont="1" applyFill="1" applyAlignment="1">
      <alignment horizontal="center"/>
    </xf>
    <xf numFmtId="0" fontId="6" fillId="2" borderId="0" xfId="0" applyFont="1" applyFill="1" applyAlignment="1">
      <alignment horizontal="right"/>
    </xf>
    <xf numFmtId="0" fontId="7" fillId="0" borderId="0" xfId="0" applyFont="1" applyAlignment="1">
      <alignment horizontal="center"/>
    </xf>
    <xf numFmtId="164" fontId="0" fillId="0" borderId="0" xfId="0" applyNumberFormat="1"/>
    <xf numFmtId="0" fontId="11" fillId="0" borderId="0" xfId="0" applyFont="1" applyAlignment="1">
      <alignment horizontal="center"/>
    </xf>
    <xf numFmtId="0" fontId="0" fillId="0" borderId="0" xfId="0" applyAlignment="1">
      <alignment horizontal="center"/>
    </xf>
    <xf numFmtId="0" fontId="2" fillId="4" borderId="0" xfId="0" applyFont="1" applyFill="1"/>
    <xf numFmtId="164" fontId="12" fillId="0" borderId="0" xfId="0" applyNumberFormat="1" applyFont="1"/>
    <xf numFmtId="1" fontId="0" fillId="0" borderId="0" xfId="0" applyNumberFormat="1"/>
    <xf numFmtId="0" fontId="13" fillId="0" borderId="0" xfId="0" applyFont="1" applyAlignment="1">
      <alignment horizontal="center"/>
    </xf>
    <xf numFmtId="164" fontId="12" fillId="4" borderId="0" xfId="0" applyNumberFormat="1" applyFont="1" applyFill="1"/>
    <xf numFmtId="164" fontId="2" fillId="4" borderId="0" xfId="0" applyNumberFormat="1" applyFont="1" applyFill="1"/>
    <xf numFmtId="0" fontId="2" fillId="0" borderId="1" xfId="0" applyFont="1" applyBorder="1"/>
    <xf numFmtId="164" fontId="2" fillId="0" borderId="1" xfId="0" applyNumberFormat="1" applyFont="1" applyBorder="1"/>
    <xf numFmtId="0" fontId="0" fillId="4" borderId="0" xfId="0" applyFill="1"/>
    <xf numFmtId="3" fontId="7" fillId="0" borderId="0" xfId="0" applyNumberFormat="1" applyFont="1"/>
    <xf numFmtId="165" fontId="7" fillId="0" borderId="0" xfId="0" applyNumberFormat="1" applyFont="1"/>
    <xf numFmtId="166" fontId="0" fillId="0" borderId="0" xfId="0" applyNumberFormat="1"/>
    <xf numFmtId="167" fontId="7" fillId="0" borderId="0" xfId="0" applyNumberFormat="1" applyFont="1"/>
    <xf numFmtId="17" fontId="7" fillId="0" borderId="0" xfId="0" applyNumberFormat="1" applyFont="1" applyAlignment="1">
      <alignment horizontal="right"/>
    </xf>
    <xf numFmtId="17" fontId="6" fillId="2" borderId="0" xfId="0" applyNumberFormat="1" applyFont="1" applyFill="1" applyAlignment="1">
      <alignment horizontal="center"/>
    </xf>
    <xf numFmtId="17" fontId="0" fillId="0" borderId="0" xfId="0" applyNumberFormat="1"/>
    <xf numFmtId="17" fontId="0" fillId="0" borderId="0" xfId="0" applyNumberFormat="1" applyAlignment="1">
      <alignment horizontal="center"/>
    </xf>
    <xf numFmtId="0" fontId="6" fillId="5" borderId="0" xfId="0" applyFont="1" applyFill="1"/>
    <xf numFmtId="0" fontId="0" fillId="5" borderId="0" xfId="0" applyFill="1"/>
    <xf numFmtId="164" fontId="2" fillId="4" borderId="1" xfId="0" applyNumberFormat="1" applyFont="1" applyFill="1" applyBorder="1"/>
    <xf numFmtId="0" fontId="0" fillId="0" borderId="1" xfId="0" applyBorder="1"/>
    <xf numFmtId="1" fontId="10" fillId="3" borderId="0" xfId="0" applyNumberFormat="1" applyFont="1" applyFill="1" applyAlignment="1">
      <alignment horizontal="center"/>
    </xf>
    <xf numFmtId="1" fontId="0" fillId="3" borderId="0" xfId="0" applyNumberFormat="1" applyFill="1"/>
    <xf numFmtId="0" fontId="14" fillId="0" borderId="0" xfId="0" applyFont="1"/>
    <xf numFmtId="168" fontId="0" fillId="0" borderId="0" xfId="0" applyNumberFormat="1"/>
    <xf numFmtId="168" fontId="7" fillId="0" borderId="0" xfId="0" applyNumberFormat="1" applyFont="1"/>
    <xf numFmtId="169" fontId="0" fillId="0" borderId="0" xfId="0" applyNumberFormat="1"/>
    <xf numFmtId="1" fontId="7" fillId="0" borderId="0" xfId="0" applyNumberFormat="1" applyFont="1"/>
    <xf numFmtId="164" fontId="2" fillId="3" borderId="0" xfId="0" applyNumberFormat="1" applyFont="1" applyFill="1"/>
    <xf numFmtId="168" fontId="2" fillId="0" borderId="0" xfId="0" applyNumberFormat="1" applyFont="1"/>
    <xf numFmtId="0" fontId="16" fillId="0" borderId="0" xfId="0" applyFont="1"/>
    <xf numFmtId="0" fontId="17" fillId="0" borderId="0" xfId="0" applyFont="1"/>
    <xf numFmtId="2" fontId="7" fillId="0" borderId="0" xfId="0" applyNumberFormat="1" applyFont="1"/>
    <xf numFmtId="164" fontId="15" fillId="0" borderId="0" xfId="0" applyNumberFormat="1" applyFont="1"/>
    <xf numFmtId="0" fontId="0" fillId="0" borderId="0" xfId="0" applyAlignment="1">
      <alignment horizontal="right"/>
    </xf>
    <xf numFmtId="3" fontId="0" fillId="0" borderId="0" xfId="0" applyNumberFormat="1"/>
    <xf numFmtId="0" fontId="18" fillId="0" borderId="0" xfId="0" applyFont="1"/>
    <xf numFmtId="0" fontId="19" fillId="0" borderId="0" xfId="0" applyFont="1"/>
    <xf numFmtId="0" fontId="20" fillId="0" borderId="0" xfId="0" applyFont="1"/>
    <xf numFmtId="0" fontId="21" fillId="0" borderId="0" xfId="0" applyFont="1"/>
    <xf numFmtId="0" fontId="22" fillId="0" borderId="0" xfId="0" applyFont="1" applyAlignment="1">
      <alignment horizontal="right"/>
    </xf>
    <xf numFmtId="0" fontId="22" fillId="0" borderId="0" xfId="0" applyFont="1"/>
    <xf numFmtId="0" fontId="19" fillId="0" borderId="0" xfId="0" applyFont="1" applyAlignment="1">
      <alignment horizontal="right"/>
    </xf>
    <xf numFmtId="170" fontId="19" fillId="0" borderId="0" xfId="0" applyNumberFormat="1" applyFont="1"/>
    <xf numFmtId="0" fontId="19" fillId="0" borderId="2" xfId="0" applyFont="1" applyBorder="1"/>
    <xf numFmtId="17" fontId="22" fillId="4" borderId="2" xfId="0" applyNumberFormat="1" applyFont="1" applyFill="1" applyBorder="1" applyAlignment="1">
      <alignment horizontal="center"/>
    </xf>
    <xf numFmtId="0" fontId="22" fillId="4" borderId="2" xfId="0" applyFont="1" applyFill="1" applyBorder="1" applyAlignment="1">
      <alignment horizontal="center"/>
    </xf>
    <xf numFmtId="0" fontId="22" fillId="0" borderId="1" xfId="0" applyFont="1" applyBorder="1" applyAlignment="1">
      <alignment horizontal="right"/>
    </xf>
    <xf numFmtId="170" fontId="19" fillId="0" borderId="1" xfId="0" applyNumberFormat="1" applyFont="1" applyBorder="1"/>
    <xf numFmtId="170" fontId="23" fillId="6" borderId="0" xfId="0" applyNumberFormat="1" applyFont="1" applyFill="1"/>
    <xf numFmtId="170" fontId="22" fillId="6" borderId="0" xfId="0" applyNumberFormat="1" applyFont="1" applyFill="1"/>
    <xf numFmtId="170" fontId="19" fillId="7" borderId="0" xfId="0" applyNumberFormat="1" applyFont="1" applyFill="1"/>
    <xf numFmtId="0" fontId="21" fillId="0" borderId="0" xfId="0" applyFont="1" applyAlignment="1">
      <alignment horizontal="right"/>
    </xf>
    <xf numFmtId="170" fontId="0" fillId="0" borderId="0" xfId="0" applyNumberFormat="1"/>
    <xf numFmtId="170" fontId="7" fillId="0" borderId="0" xfId="0" applyNumberFormat="1" applyFont="1"/>
    <xf numFmtId="170" fontId="2" fillId="0" borderId="0" xfId="0" applyNumberFormat="1" applyFont="1"/>
    <xf numFmtId="7" fontId="0" fillId="0" borderId="0" xfId="0" applyNumberFormat="1"/>
    <xf numFmtId="171" fontId="0" fillId="0" borderId="0" xfId="1" applyNumberFormat="1" applyFont="1"/>
    <xf numFmtId="9" fontId="0" fillId="0" borderId="0" xfId="2" applyFont="1"/>
    <xf numFmtId="172" fontId="0" fillId="0" borderId="0" xfId="0" applyNumberFormat="1"/>
    <xf numFmtId="9" fontId="0" fillId="0" borderId="0" xfId="0" applyNumberFormat="1"/>
  </cellXfs>
  <cellStyles count="3">
    <cellStyle name="Comma" xfId="1" builtinId="3"/>
    <cellStyle name="Normal" xfId="0" builtinId="0"/>
    <cellStyle name="Percent" xfId="2" builtinId="5"/>
  </cellStyles>
  <dxfs count="7">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1178"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C1D7BDF6-D228-429C-BC3D-89514CAA7051}">
  <we:reference id="29673e3c-d826-4f00-92ee-162334a52b1a" version="1.0.0.8" store="EXCatalog" storeType="EXCatalog"/>
  <we:alternateReferences>
    <we:reference id="WA200009404" version="1.0.0.8" store="en-US" storeType="OMEX"/>
  </we:alternateReferences>
  <we:properties>
    <we:property name="claude.fileId" value="&quot;7e1178ac-8751-47e8-bfdb-693ba51da39a&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331188-EFF7-4B52-842F-A2908DBDE577}">
  <dimension ref="A1:D43"/>
  <sheetViews>
    <sheetView topLeftCell="A11" workbookViewId="0">
      <selection activeCell="B34" sqref="B34"/>
    </sheetView>
  </sheetViews>
  <sheetFormatPr defaultRowHeight="14.5" x14ac:dyDescent="0.35"/>
  <cols>
    <col min="1" max="1" width="60" customWidth="1"/>
    <col min="2" max="2" width="21.81640625" customWidth="1"/>
    <col min="3" max="3" width="61.81640625" customWidth="1"/>
  </cols>
  <sheetData>
    <row r="1" spans="1:4" ht="18.5" x14ac:dyDescent="0.45">
      <c r="A1" s="1" t="s">
        <v>0</v>
      </c>
    </row>
    <row r="2" spans="1:4" ht="16" x14ac:dyDescent="0.4">
      <c r="A2" s="2" t="s">
        <v>1</v>
      </c>
    </row>
    <row r="3" spans="1:4" x14ac:dyDescent="0.35">
      <c r="A3" s="3" t="s">
        <v>2</v>
      </c>
    </row>
    <row r="5" spans="1:4" x14ac:dyDescent="0.35">
      <c r="A5" s="4" t="s">
        <v>3</v>
      </c>
      <c r="B5" s="5"/>
      <c r="C5" s="5"/>
      <c r="D5" s="5"/>
    </row>
    <row r="6" spans="1:4" x14ac:dyDescent="0.35">
      <c r="A6" s="6" t="s">
        <v>4</v>
      </c>
      <c r="B6" s="7" t="s">
        <v>5</v>
      </c>
      <c r="C6" s="6" t="s">
        <v>6</v>
      </c>
    </row>
    <row r="7" spans="1:4" x14ac:dyDescent="0.35">
      <c r="A7" t="s">
        <v>7</v>
      </c>
      <c r="B7" s="14">
        <f>'GF Monthly FY26'!M22</f>
        <v>26311952.840000004</v>
      </c>
      <c r="C7" t="s">
        <v>8</v>
      </c>
    </row>
    <row r="8" spans="1:4" x14ac:dyDescent="0.35">
      <c r="A8" t="s">
        <v>9</v>
      </c>
      <c r="B8" s="8">
        <v>-1788950</v>
      </c>
      <c r="C8" t="s">
        <v>10</v>
      </c>
    </row>
    <row r="9" spans="1:4" x14ac:dyDescent="0.35">
      <c r="A9" t="s">
        <v>11</v>
      </c>
      <c r="B9" s="8">
        <v>4580307</v>
      </c>
      <c r="C9" t="s">
        <v>12</v>
      </c>
    </row>
    <row r="10" spans="1:4" x14ac:dyDescent="0.35">
      <c r="A10" s="6" t="s">
        <v>13</v>
      </c>
      <c r="B10" s="9">
        <f>SUM(B7:B9)</f>
        <v>29103309.840000004</v>
      </c>
    </row>
    <row r="12" spans="1:4" x14ac:dyDescent="0.35">
      <c r="A12" s="4" t="s">
        <v>14</v>
      </c>
      <c r="B12" s="5"/>
      <c r="C12" s="5"/>
      <c r="D12" s="5"/>
    </row>
    <row r="13" spans="1:4" x14ac:dyDescent="0.35">
      <c r="A13" t="s">
        <v>15</v>
      </c>
      <c r="B13" s="10">
        <v>0</v>
      </c>
      <c r="C13" t="s">
        <v>16</v>
      </c>
    </row>
    <row r="14" spans="1:4" x14ac:dyDescent="0.35">
      <c r="A14" t="s">
        <v>17</v>
      </c>
      <c r="B14" s="8">
        <v>8000000</v>
      </c>
      <c r="C14" t="s">
        <v>18</v>
      </c>
    </row>
    <row r="15" spans="1:4" x14ac:dyDescent="0.35">
      <c r="A15" t="s">
        <v>19</v>
      </c>
      <c r="B15" s="11">
        <v>0.06</v>
      </c>
      <c r="C15" t="s">
        <v>20</v>
      </c>
    </row>
    <row r="16" spans="1:4" x14ac:dyDescent="0.35">
      <c r="A16" t="s">
        <v>21</v>
      </c>
      <c r="B16" s="8">
        <v>8000000</v>
      </c>
      <c r="C16" t="s">
        <v>22</v>
      </c>
    </row>
    <row r="17" spans="1:4" x14ac:dyDescent="0.35">
      <c r="A17" t="s">
        <v>23</v>
      </c>
      <c r="B17" s="8">
        <v>15000000</v>
      </c>
      <c r="C17" t="s">
        <v>24</v>
      </c>
    </row>
    <row r="18" spans="1:4" x14ac:dyDescent="0.35">
      <c r="A18" t="s">
        <v>25</v>
      </c>
      <c r="B18" s="8">
        <v>100000</v>
      </c>
    </row>
    <row r="19" spans="1:4" x14ac:dyDescent="0.35">
      <c r="A19" t="s">
        <v>26</v>
      </c>
      <c r="B19" s="35">
        <v>46266</v>
      </c>
      <c r="C19" t="s">
        <v>27</v>
      </c>
    </row>
    <row r="20" spans="1:4" x14ac:dyDescent="0.35">
      <c r="A20" t="s">
        <v>28</v>
      </c>
      <c r="B20" s="35">
        <v>46539</v>
      </c>
    </row>
    <row r="22" spans="1:4" x14ac:dyDescent="0.35">
      <c r="A22" s="4" t="s">
        <v>29</v>
      </c>
      <c r="B22" s="5"/>
      <c r="C22" s="5"/>
      <c r="D22" s="5"/>
    </row>
    <row r="23" spans="1:4" x14ac:dyDescent="0.35">
      <c r="A23" t="s">
        <v>30</v>
      </c>
      <c r="B23" s="8">
        <v>10000000</v>
      </c>
      <c r="C23" t="s">
        <v>31</v>
      </c>
    </row>
    <row r="24" spans="1:4" x14ac:dyDescent="0.35">
      <c r="A24" t="s">
        <v>32</v>
      </c>
      <c r="B24" s="8">
        <v>10600000</v>
      </c>
      <c r="C24" t="s">
        <v>33</v>
      </c>
    </row>
    <row r="25" spans="1:4" x14ac:dyDescent="0.35">
      <c r="A25" t="s">
        <v>34</v>
      </c>
      <c r="B25" s="8">
        <v>7320000</v>
      </c>
      <c r="C25" t="s">
        <v>35</v>
      </c>
    </row>
    <row r="26" spans="1:4" x14ac:dyDescent="0.35">
      <c r="A26" t="s">
        <v>36</v>
      </c>
      <c r="B26" s="8">
        <v>7759200</v>
      </c>
      <c r="C26" t="s">
        <v>37</v>
      </c>
    </row>
    <row r="27" spans="1:4" x14ac:dyDescent="0.35">
      <c r="A27" t="s">
        <v>38</v>
      </c>
      <c r="B27" s="8">
        <v>6100000</v>
      </c>
      <c r="C27" s="12" t="s">
        <v>39</v>
      </c>
    </row>
    <row r="28" spans="1:4" x14ac:dyDescent="0.35">
      <c r="A28" t="s">
        <v>40</v>
      </c>
      <c r="B28" s="8"/>
      <c r="C28" s="12" t="s">
        <v>39</v>
      </c>
    </row>
    <row r="29" spans="1:4" x14ac:dyDescent="0.35">
      <c r="A29" t="s">
        <v>41</v>
      </c>
      <c r="B29" s="8">
        <v>2500000</v>
      </c>
      <c r="C29" s="12" t="s">
        <v>42</v>
      </c>
    </row>
    <row r="30" spans="1:4" x14ac:dyDescent="0.35">
      <c r="A30" t="s">
        <v>43</v>
      </c>
      <c r="B30" s="8">
        <v>4000000</v>
      </c>
      <c r="C30" s="12" t="s">
        <v>44</v>
      </c>
    </row>
    <row r="31" spans="1:4" x14ac:dyDescent="0.35">
      <c r="A31" t="s">
        <v>45</v>
      </c>
      <c r="B31" s="8">
        <v>3000000</v>
      </c>
      <c r="C31" s="12" t="s">
        <v>44</v>
      </c>
    </row>
    <row r="33" spans="1:4" x14ac:dyDescent="0.35">
      <c r="A33" s="4" t="s">
        <v>46</v>
      </c>
      <c r="B33" s="5"/>
      <c r="C33" s="5"/>
      <c r="D33" s="5"/>
    </row>
    <row r="34" spans="1:4" x14ac:dyDescent="0.35">
      <c r="A34" t="s">
        <v>47</v>
      </c>
      <c r="B34" s="43">
        <v>1</v>
      </c>
      <c r="C34" s="12" t="s">
        <v>48</v>
      </c>
    </row>
    <row r="35" spans="1:4" x14ac:dyDescent="0.35">
      <c r="A35" t="s">
        <v>49</v>
      </c>
      <c r="B35" s="13">
        <f>B26/B25-1</f>
        <v>6.0000000000000053E-2</v>
      </c>
      <c r="C35" s="12" t="s">
        <v>50</v>
      </c>
    </row>
    <row r="36" spans="1:4" x14ac:dyDescent="0.35">
      <c r="A36" t="s">
        <v>51</v>
      </c>
      <c r="B36" s="14">
        <f>-'GF Monthly FY27'!N19/365</f>
        <v>676458.89315068489</v>
      </c>
      <c r="C36" s="12" t="s">
        <v>52</v>
      </c>
    </row>
    <row r="38" spans="1:4" x14ac:dyDescent="0.35">
      <c r="A38" s="4" t="s">
        <v>53</v>
      </c>
      <c r="B38" s="5"/>
      <c r="C38" s="5"/>
      <c r="D38" s="5"/>
    </row>
    <row r="39" spans="1:4" x14ac:dyDescent="0.35">
      <c r="A39" t="s">
        <v>54</v>
      </c>
      <c r="B39" t="s">
        <v>55</v>
      </c>
      <c r="C39" s="12" t="s">
        <v>56</v>
      </c>
    </row>
    <row r="40" spans="1:4" x14ac:dyDescent="0.35">
      <c r="A40" t="s">
        <v>57</v>
      </c>
      <c r="B40" s="15">
        <v>46245</v>
      </c>
      <c r="C40" s="12" t="s">
        <v>58</v>
      </c>
    </row>
    <row r="41" spans="1:4" x14ac:dyDescent="0.35">
      <c r="A41" t="s">
        <v>59</v>
      </c>
      <c r="B41" s="15">
        <v>46182</v>
      </c>
      <c r="C41" s="12" t="s">
        <v>60</v>
      </c>
    </row>
    <row r="42" spans="1:4" x14ac:dyDescent="0.35">
      <c r="A42" t="s">
        <v>61</v>
      </c>
      <c r="B42" s="15">
        <v>46140</v>
      </c>
      <c r="C42" s="12" t="s">
        <v>62</v>
      </c>
    </row>
    <row r="43" spans="1:4" x14ac:dyDescent="0.35">
      <c r="A43" t="s">
        <v>63</v>
      </c>
      <c r="B43" t="s">
        <v>64</v>
      </c>
      <c r="C43" s="12" t="s">
        <v>65</v>
      </c>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A23AB-6C54-454D-92DD-8801A6FE4649}">
  <dimension ref="A1:J12"/>
  <sheetViews>
    <sheetView workbookViewId="0">
      <selection activeCell="C6" sqref="C6"/>
    </sheetView>
  </sheetViews>
  <sheetFormatPr defaultRowHeight="14.5" x14ac:dyDescent="0.35"/>
  <cols>
    <col min="1" max="1" width="12.6328125" customWidth="1"/>
    <col min="2" max="2" width="65.453125" customWidth="1"/>
    <col min="3" max="3" width="11.54296875" bestFit="1" customWidth="1"/>
    <col min="4" max="4" width="13.81640625" bestFit="1" customWidth="1"/>
    <col min="5" max="5" width="6.81640625" bestFit="1" customWidth="1"/>
    <col min="6" max="6" width="12.453125" bestFit="1" customWidth="1"/>
    <col min="7" max="7" width="4.54296875" bestFit="1" customWidth="1"/>
    <col min="8" max="8" width="15" bestFit="1" customWidth="1"/>
    <col min="9" max="9" width="18.1796875" bestFit="1" customWidth="1"/>
    <col min="10" max="10" width="60" customWidth="1"/>
  </cols>
  <sheetData>
    <row r="1" spans="1:10" ht="18.5" x14ac:dyDescent="0.45">
      <c r="A1" s="1" t="s">
        <v>66</v>
      </c>
    </row>
    <row r="2" spans="1:10" x14ac:dyDescent="0.35">
      <c r="A2" s="3" t="s">
        <v>67</v>
      </c>
    </row>
    <row r="4" spans="1:10" x14ac:dyDescent="0.35">
      <c r="A4" s="4" t="s">
        <v>68</v>
      </c>
      <c r="B4" s="4" t="s">
        <v>69</v>
      </c>
      <c r="C4" s="4" t="s">
        <v>70</v>
      </c>
      <c r="D4" s="4" t="s">
        <v>71</v>
      </c>
      <c r="E4" s="16" t="s">
        <v>72</v>
      </c>
      <c r="F4" s="17" t="s">
        <v>73</v>
      </c>
      <c r="G4" s="16" t="s">
        <v>74</v>
      </c>
      <c r="H4" s="17" t="s">
        <v>75</v>
      </c>
      <c r="I4" s="4" t="s">
        <v>76</v>
      </c>
      <c r="J4" s="4" t="s">
        <v>77</v>
      </c>
    </row>
    <row r="5" spans="1:10" x14ac:dyDescent="0.35">
      <c r="A5">
        <v>1</v>
      </c>
      <c r="B5" t="s">
        <v>78</v>
      </c>
      <c r="C5" t="s">
        <v>7</v>
      </c>
      <c r="D5" t="s">
        <v>79</v>
      </c>
      <c r="E5" s="38">
        <v>46266</v>
      </c>
      <c r="F5" s="14">
        <f>Assumptions!B24</f>
        <v>10600000</v>
      </c>
      <c r="G5" s="18">
        <v>1</v>
      </c>
      <c r="H5" s="19">
        <f t="shared" ref="H5:H11" si="0">F5*G5</f>
        <v>10600000</v>
      </c>
      <c r="I5" t="s">
        <v>80</v>
      </c>
      <c r="J5" t="s">
        <v>81</v>
      </c>
    </row>
    <row r="6" spans="1:10" x14ac:dyDescent="0.35">
      <c r="A6">
        <v>2</v>
      </c>
      <c r="B6" t="s">
        <v>82</v>
      </c>
      <c r="C6" t="s">
        <v>83</v>
      </c>
      <c r="D6" t="s">
        <v>7</v>
      </c>
      <c r="E6" s="38">
        <v>46266</v>
      </c>
      <c r="F6" s="14">
        <f>Assumptions!B26</f>
        <v>7759200</v>
      </c>
      <c r="G6" s="18">
        <v>1</v>
      </c>
      <c r="H6" s="19">
        <f t="shared" si="0"/>
        <v>7759200</v>
      </c>
      <c r="I6" t="s">
        <v>84</v>
      </c>
      <c r="J6" t="s">
        <v>85</v>
      </c>
    </row>
    <row r="7" spans="1:10" x14ac:dyDescent="0.35">
      <c r="A7">
        <v>3</v>
      </c>
      <c r="B7" t="s">
        <v>86</v>
      </c>
      <c r="C7" t="s">
        <v>7</v>
      </c>
      <c r="D7" t="s">
        <v>87</v>
      </c>
      <c r="E7" s="38">
        <v>46327</v>
      </c>
      <c r="F7" s="14">
        <f>Assumptions!B29</f>
        <v>2500000</v>
      </c>
      <c r="G7" s="18">
        <v>1</v>
      </c>
      <c r="H7" s="19">
        <f t="shared" si="0"/>
        <v>2500000</v>
      </c>
      <c r="I7" t="s">
        <v>80</v>
      </c>
      <c r="J7" t="s">
        <v>88</v>
      </c>
    </row>
    <row r="8" spans="1:10" x14ac:dyDescent="0.35">
      <c r="A8">
        <v>4</v>
      </c>
      <c r="B8" t="s">
        <v>89</v>
      </c>
      <c r="C8" t="s">
        <v>7</v>
      </c>
      <c r="D8" t="s">
        <v>83</v>
      </c>
      <c r="E8" s="38">
        <v>46508</v>
      </c>
      <c r="F8" s="14">
        <f>Assumptions!B27</f>
        <v>6100000</v>
      </c>
      <c r="G8" s="20">
        <f>Assumptions!B34</f>
        <v>1</v>
      </c>
      <c r="H8" s="19">
        <f t="shared" si="0"/>
        <v>6100000</v>
      </c>
      <c r="I8" t="s">
        <v>90</v>
      </c>
      <c r="J8" t="s">
        <v>91</v>
      </c>
    </row>
    <row r="9" spans="1:10" x14ac:dyDescent="0.35">
      <c r="A9">
        <v>5</v>
      </c>
      <c r="B9" t="s">
        <v>92</v>
      </c>
      <c r="C9" t="s">
        <v>7</v>
      </c>
      <c r="D9" t="s">
        <v>83</v>
      </c>
      <c r="E9" s="38">
        <v>46508</v>
      </c>
      <c r="F9" s="14">
        <f>Assumptions!B28</f>
        <v>0</v>
      </c>
      <c r="G9" s="20">
        <f>Assumptions!B34</f>
        <v>1</v>
      </c>
      <c r="H9" s="19">
        <f t="shared" si="0"/>
        <v>0</v>
      </c>
      <c r="I9" t="s">
        <v>90</v>
      </c>
      <c r="J9" t="s">
        <v>91</v>
      </c>
    </row>
    <row r="10" spans="1:10" x14ac:dyDescent="0.35">
      <c r="A10">
        <v>6</v>
      </c>
      <c r="B10" t="s">
        <v>93</v>
      </c>
      <c r="C10" t="s">
        <v>7</v>
      </c>
      <c r="D10" t="s">
        <v>83</v>
      </c>
      <c r="E10" s="21" t="s">
        <v>94</v>
      </c>
      <c r="F10" s="14">
        <f>Assumptions!B30</f>
        <v>4000000</v>
      </c>
      <c r="G10" s="18">
        <v>0</v>
      </c>
      <c r="H10" s="19">
        <f t="shared" si="0"/>
        <v>0</v>
      </c>
      <c r="I10" t="s">
        <v>95</v>
      </c>
      <c r="J10" t="s">
        <v>96</v>
      </c>
    </row>
    <row r="11" spans="1:10" x14ac:dyDescent="0.35">
      <c r="A11">
        <v>7</v>
      </c>
      <c r="B11" t="s">
        <v>97</v>
      </c>
      <c r="C11" t="s">
        <v>7</v>
      </c>
      <c r="D11" t="s">
        <v>98</v>
      </c>
      <c r="E11" s="21" t="s">
        <v>94</v>
      </c>
      <c r="F11" s="14">
        <f>Assumptions!B31</f>
        <v>3000000</v>
      </c>
      <c r="G11" s="18">
        <v>0</v>
      </c>
      <c r="H11" s="19">
        <f t="shared" si="0"/>
        <v>0</v>
      </c>
      <c r="I11" t="s">
        <v>95</v>
      </c>
      <c r="J11" t="s">
        <v>96</v>
      </c>
    </row>
    <row r="12" spans="1:10" x14ac:dyDescent="0.35">
      <c r="B12" s="6" t="s">
        <v>99</v>
      </c>
      <c r="F12" s="9">
        <f>SUM(F5:F11)</f>
        <v>33959200</v>
      </c>
      <c r="H12" s="9">
        <f>SUM(H5:H11)</f>
        <v>26959200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3B5D76-8C19-426B-89A6-3B6376B78519}">
  <dimension ref="A1:N38"/>
  <sheetViews>
    <sheetView topLeftCell="B1" workbookViewId="0">
      <selection activeCell="A41" sqref="A41"/>
    </sheetView>
  </sheetViews>
  <sheetFormatPr defaultRowHeight="14.5" x14ac:dyDescent="0.35"/>
  <cols>
    <col min="1" max="1" width="30.90625" customWidth="1"/>
    <col min="2" max="14" width="17.1796875" customWidth="1"/>
  </cols>
  <sheetData>
    <row r="1" spans="1:14" ht="18.5" x14ac:dyDescent="0.45">
      <c r="A1" s="58" t="s">
        <v>0</v>
      </c>
      <c r="B1" s="59"/>
      <c r="C1" s="59"/>
      <c r="D1" s="59"/>
      <c r="E1" s="59"/>
      <c r="F1" s="59"/>
      <c r="G1" s="59"/>
      <c r="H1" s="59"/>
      <c r="I1" s="59"/>
      <c r="J1" s="59"/>
      <c r="K1" s="59"/>
      <c r="L1" s="59"/>
      <c r="M1" s="59"/>
      <c r="N1" s="59"/>
    </row>
    <row r="2" spans="1:14" ht="15.5" x14ac:dyDescent="0.35">
      <c r="A2" s="60" t="s">
        <v>312</v>
      </c>
      <c r="B2" s="59"/>
      <c r="C2" s="59"/>
      <c r="D2" s="59"/>
      <c r="E2" s="59"/>
      <c r="F2" s="59"/>
      <c r="G2" s="59"/>
      <c r="H2" s="59"/>
      <c r="I2" s="59"/>
      <c r="J2" s="59"/>
      <c r="K2" s="59"/>
      <c r="L2" s="59"/>
      <c r="M2" s="59"/>
      <c r="N2" s="59"/>
    </row>
    <row r="3" spans="1:14" x14ac:dyDescent="0.35">
      <c r="A3" s="61" t="s">
        <v>313</v>
      </c>
      <c r="B3" s="59"/>
      <c r="C3" s="59"/>
      <c r="D3" s="59"/>
      <c r="E3" s="59"/>
      <c r="F3" s="59"/>
      <c r="G3" s="59"/>
      <c r="H3" s="59"/>
      <c r="I3" s="59"/>
      <c r="J3" s="59"/>
      <c r="K3" s="59"/>
      <c r="L3" s="59"/>
      <c r="M3" s="59"/>
      <c r="N3" s="62" t="s">
        <v>314</v>
      </c>
    </row>
    <row r="4" spans="1:14" x14ac:dyDescent="0.35">
      <c r="A4" s="66"/>
      <c r="B4" s="67">
        <v>45839</v>
      </c>
      <c r="C4" s="67">
        <v>45870</v>
      </c>
      <c r="D4" s="67">
        <v>45901</v>
      </c>
      <c r="E4" s="67">
        <v>45931</v>
      </c>
      <c r="F4" s="67">
        <v>45962</v>
      </c>
      <c r="G4" s="67">
        <v>45992</v>
      </c>
      <c r="H4" s="67">
        <v>46023</v>
      </c>
      <c r="I4" s="67">
        <v>46054</v>
      </c>
      <c r="J4" s="67">
        <v>46082</v>
      </c>
      <c r="K4" s="67">
        <v>46113</v>
      </c>
      <c r="L4" s="67">
        <v>46143</v>
      </c>
      <c r="M4" s="67">
        <v>46174</v>
      </c>
      <c r="N4" s="68"/>
    </row>
    <row r="5" spans="1:14" x14ac:dyDescent="0.35">
      <c r="A5" s="63" t="s">
        <v>102</v>
      </c>
      <c r="B5" s="71">
        <v>19364761</v>
      </c>
      <c r="C5" s="65">
        <f>B22</f>
        <v>9436503</v>
      </c>
      <c r="D5" s="65">
        <f t="shared" ref="D5:M5" si="0">C22</f>
        <v>6020237</v>
      </c>
      <c r="E5" s="65">
        <f t="shared" si="0"/>
        <v>5116615</v>
      </c>
      <c r="F5" s="65">
        <f t="shared" si="0"/>
        <v>34015535</v>
      </c>
      <c r="G5" s="65">
        <f t="shared" si="0"/>
        <v>31758319</v>
      </c>
      <c r="H5" s="65">
        <f t="shared" si="0"/>
        <v>26378299</v>
      </c>
      <c r="I5" s="65">
        <f t="shared" si="0"/>
        <v>19599245</v>
      </c>
      <c r="J5" s="65">
        <f t="shared" si="0"/>
        <v>16159304</v>
      </c>
      <c r="K5" s="65">
        <f t="shared" si="0"/>
        <v>14482941</v>
      </c>
      <c r="L5" s="65">
        <f t="shared" si="0"/>
        <v>39262078.950000003</v>
      </c>
      <c r="M5" s="65">
        <f t="shared" si="0"/>
        <v>30005420.830000006</v>
      </c>
      <c r="N5" s="65">
        <f>B5</f>
        <v>19364761</v>
      </c>
    </row>
    <row r="6" spans="1:14" x14ac:dyDescent="0.35">
      <c r="A6" s="59"/>
      <c r="B6" s="65"/>
      <c r="C6" s="65"/>
      <c r="D6" s="65"/>
      <c r="E6" s="65"/>
      <c r="F6" s="65"/>
      <c r="G6" s="65"/>
      <c r="H6" s="65"/>
      <c r="I6" s="65"/>
      <c r="J6" s="65"/>
      <c r="K6" s="65"/>
      <c r="L6" s="65"/>
      <c r="M6" s="65"/>
      <c r="N6" s="65"/>
    </row>
    <row r="7" spans="1:14" x14ac:dyDescent="0.35">
      <c r="A7" s="64" t="s">
        <v>103</v>
      </c>
      <c r="B7" s="65">
        <v>423804</v>
      </c>
      <c r="C7" s="65">
        <v>0</v>
      </c>
      <c r="D7" s="65">
        <v>10648629</v>
      </c>
      <c r="E7" s="65">
        <v>10649513</v>
      </c>
      <c r="F7" s="65">
        <v>10649071</v>
      </c>
      <c r="G7" s="65">
        <v>10649071</v>
      </c>
      <c r="H7" s="65">
        <v>10593772</v>
      </c>
      <c r="I7" s="65">
        <v>10593772</v>
      </c>
      <c r="J7" s="65">
        <v>10593772</v>
      </c>
      <c r="K7" s="65">
        <v>10593772</v>
      </c>
      <c r="L7" s="65">
        <v>10593772</v>
      </c>
      <c r="M7" s="65">
        <v>10593772</v>
      </c>
      <c r="N7" s="65">
        <f t="shared" ref="N7:N12" si="1">SUM(B7:M7)</f>
        <v>106582720</v>
      </c>
    </row>
    <row r="8" spans="1:14" x14ac:dyDescent="0.35">
      <c r="A8" s="64" t="s">
        <v>104</v>
      </c>
      <c r="B8" s="65">
        <v>379454</v>
      </c>
      <c r="C8" s="65">
        <v>1067</v>
      </c>
      <c r="D8" s="65">
        <v>6213734</v>
      </c>
      <c r="E8" s="65">
        <v>33780407</v>
      </c>
      <c r="F8" s="65">
        <v>5229494</v>
      </c>
      <c r="G8" s="65">
        <v>1330659</v>
      </c>
      <c r="H8" s="65">
        <v>814914</v>
      </c>
      <c r="I8" s="65">
        <v>361885</v>
      </c>
      <c r="J8" s="65">
        <v>3114234</v>
      </c>
      <c r="K8" s="65">
        <v>30156381.350000001</v>
      </c>
      <c r="L8" s="65">
        <v>4538720.12</v>
      </c>
      <c r="M8" s="65">
        <v>885844.25</v>
      </c>
      <c r="N8" s="65">
        <f t="shared" si="1"/>
        <v>86806793.719999999</v>
      </c>
    </row>
    <row r="9" spans="1:14" x14ac:dyDescent="0.35">
      <c r="A9" s="64" t="s">
        <v>105</v>
      </c>
      <c r="B9" s="65">
        <v>707917</v>
      </c>
      <c r="C9" s="65">
        <v>941910</v>
      </c>
      <c r="D9" s="65">
        <v>4053518</v>
      </c>
      <c r="E9" s="65">
        <v>3490933</v>
      </c>
      <c r="F9" s="65">
        <v>272031</v>
      </c>
      <c r="G9" s="65">
        <v>221773</v>
      </c>
      <c r="H9" s="65">
        <v>941453</v>
      </c>
      <c r="I9" s="65">
        <v>4173236</v>
      </c>
      <c r="J9" s="65">
        <v>2496828</v>
      </c>
      <c r="K9" s="65">
        <v>1803913.6</v>
      </c>
      <c r="L9" s="65">
        <v>3129516.76</v>
      </c>
      <c r="M9" s="65">
        <v>7433345.7599999998</v>
      </c>
      <c r="N9" s="65">
        <f t="shared" si="1"/>
        <v>29666375.119999997</v>
      </c>
    </row>
    <row r="10" spans="1:14" x14ac:dyDescent="0.35">
      <c r="A10" s="64" t="s">
        <v>315</v>
      </c>
      <c r="B10" s="65">
        <v>0</v>
      </c>
      <c r="C10" s="65">
        <v>0</v>
      </c>
      <c r="D10" s="65">
        <v>0</v>
      </c>
      <c r="E10" s="65">
        <v>0</v>
      </c>
      <c r="F10" s="65">
        <v>0</v>
      </c>
      <c r="G10" s="65">
        <v>0</v>
      </c>
      <c r="H10" s="65">
        <v>0</v>
      </c>
      <c r="I10" s="65">
        <v>0</v>
      </c>
      <c r="J10" s="65">
        <v>0</v>
      </c>
      <c r="K10" s="65">
        <v>0</v>
      </c>
      <c r="L10" s="65">
        <v>0</v>
      </c>
      <c r="M10" s="65">
        <v>0</v>
      </c>
      <c r="N10" s="65">
        <f t="shared" si="1"/>
        <v>0</v>
      </c>
    </row>
    <row r="11" spans="1:14" x14ac:dyDescent="0.35">
      <c r="A11" s="64" t="s">
        <v>316</v>
      </c>
      <c r="B11" s="65">
        <v>0</v>
      </c>
      <c r="C11" s="73">
        <v>10000000</v>
      </c>
      <c r="D11" s="65">
        <v>0</v>
      </c>
      <c r="E11" s="65">
        <v>0</v>
      </c>
      <c r="F11" s="65">
        <v>0</v>
      </c>
      <c r="G11" s="65">
        <v>0</v>
      </c>
      <c r="H11" s="65">
        <v>0</v>
      </c>
      <c r="I11" s="65">
        <v>0</v>
      </c>
      <c r="J11" s="65">
        <v>0</v>
      </c>
      <c r="K11" s="65">
        <v>0</v>
      </c>
      <c r="L11" s="65">
        <v>0</v>
      </c>
      <c r="M11" s="65">
        <v>0</v>
      </c>
      <c r="N11" s="65">
        <f t="shared" si="1"/>
        <v>10000000</v>
      </c>
    </row>
    <row r="12" spans="1:14" x14ac:dyDescent="0.35">
      <c r="A12" s="69" t="s">
        <v>108</v>
      </c>
      <c r="B12" s="70">
        <f>SUM(B7:B11)</f>
        <v>1511175</v>
      </c>
      <c r="C12" s="70">
        <f t="shared" ref="C12:M12" si="2">SUM(C7:C11)</f>
        <v>10942977</v>
      </c>
      <c r="D12" s="70">
        <f t="shared" si="2"/>
        <v>20915881</v>
      </c>
      <c r="E12" s="70">
        <f t="shared" si="2"/>
        <v>47920853</v>
      </c>
      <c r="F12" s="70">
        <f t="shared" si="2"/>
        <v>16150596</v>
      </c>
      <c r="G12" s="70">
        <f t="shared" si="2"/>
        <v>12201503</v>
      </c>
      <c r="H12" s="70">
        <f t="shared" si="2"/>
        <v>12350139</v>
      </c>
      <c r="I12" s="70">
        <f t="shared" si="2"/>
        <v>15128893</v>
      </c>
      <c r="J12" s="70">
        <f t="shared" si="2"/>
        <v>16204834</v>
      </c>
      <c r="K12" s="70">
        <f t="shared" si="2"/>
        <v>42554066.950000003</v>
      </c>
      <c r="L12" s="70">
        <f t="shared" si="2"/>
        <v>18262008.880000003</v>
      </c>
      <c r="M12" s="70">
        <f t="shared" si="2"/>
        <v>18912962.009999998</v>
      </c>
      <c r="N12" s="70">
        <f t="shared" si="1"/>
        <v>233055888.83999997</v>
      </c>
    </row>
    <row r="13" spans="1:14" x14ac:dyDescent="0.35">
      <c r="A13" s="59"/>
      <c r="B13" s="65"/>
      <c r="C13" s="65"/>
      <c r="D13" s="65"/>
      <c r="E13" s="65"/>
      <c r="F13" s="65"/>
      <c r="G13" s="65"/>
      <c r="H13" s="65"/>
      <c r="I13" s="65"/>
      <c r="J13" s="65"/>
      <c r="K13" s="65"/>
      <c r="L13" s="65"/>
      <c r="M13" s="65"/>
      <c r="N13" s="65"/>
    </row>
    <row r="14" spans="1:14" x14ac:dyDescent="0.35">
      <c r="A14" s="64" t="s">
        <v>109</v>
      </c>
      <c r="B14" s="65">
        <v>-11590643</v>
      </c>
      <c r="C14" s="65">
        <v>-11885147</v>
      </c>
      <c r="D14" s="65">
        <v>-15886172</v>
      </c>
      <c r="E14" s="65">
        <v>-16354879</v>
      </c>
      <c r="F14" s="65">
        <v>-16377911</v>
      </c>
      <c r="G14" s="65">
        <v>-16134172</v>
      </c>
      <c r="H14" s="65">
        <v>-15608001</v>
      </c>
      <c r="I14" s="65">
        <v>-16350451</v>
      </c>
      <c r="J14" s="65">
        <v>-15882730</v>
      </c>
      <c r="K14" s="65">
        <v>-15767833</v>
      </c>
      <c r="L14" s="65">
        <v>-16610155</v>
      </c>
      <c r="M14" s="65">
        <v>-18860380</v>
      </c>
      <c r="N14" s="65">
        <f t="shared" ref="N14:N19" si="3">SUM(B14:M14)</f>
        <v>-187308474</v>
      </c>
    </row>
    <row r="15" spans="1:14" x14ac:dyDescent="0.35">
      <c r="A15" s="64" t="s">
        <v>110</v>
      </c>
      <c r="B15" s="65">
        <v>151210</v>
      </c>
      <c r="C15" s="65">
        <v>-2474096</v>
      </c>
      <c r="D15" s="65">
        <v>-5933331</v>
      </c>
      <c r="E15" s="65">
        <v>-2667054</v>
      </c>
      <c r="F15" s="65">
        <v>-2029901</v>
      </c>
      <c r="G15" s="65">
        <v>-1447351</v>
      </c>
      <c r="H15" s="65">
        <v>-3521192</v>
      </c>
      <c r="I15" s="65">
        <v>-2218383</v>
      </c>
      <c r="J15" s="65">
        <v>-1998467</v>
      </c>
      <c r="K15" s="65">
        <v>-1987096</v>
      </c>
      <c r="L15" s="65">
        <v>-2329321</v>
      </c>
      <c r="M15" s="65">
        <v>-3746050</v>
      </c>
      <c r="N15" s="65">
        <f t="shared" si="3"/>
        <v>-30201032</v>
      </c>
    </row>
    <row r="16" spans="1:14" x14ac:dyDescent="0.35">
      <c r="A16" s="64" t="s">
        <v>317</v>
      </c>
      <c r="B16" s="65">
        <v>0</v>
      </c>
      <c r="C16" s="65">
        <v>0</v>
      </c>
      <c r="D16" s="65">
        <v>0</v>
      </c>
      <c r="E16" s="65">
        <v>0</v>
      </c>
      <c r="F16" s="65">
        <v>0</v>
      </c>
      <c r="G16" s="65">
        <v>0</v>
      </c>
      <c r="H16" s="65">
        <v>0</v>
      </c>
      <c r="I16" s="65">
        <v>0</v>
      </c>
      <c r="J16" s="65">
        <v>0</v>
      </c>
      <c r="K16" s="65">
        <v>-20000</v>
      </c>
      <c r="L16" s="65">
        <v>0</v>
      </c>
      <c r="M16" s="65">
        <v>0</v>
      </c>
      <c r="N16" s="65">
        <f t="shared" si="3"/>
        <v>-20000</v>
      </c>
    </row>
    <row r="17" spans="1:14" x14ac:dyDescent="0.35">
      <c r="A17" s="64" t="s">
        <v>318</v>
      </c>
      <c r="B17" s="65">
        <v>0</v>
      </c>
      <c r="C17" s="65">
        <v>0</v>
      </c>
      <c r="D17" s="65">
        <v>0</v>
      </c>
      <c r="E17" s="65">
        <v>0</v>
      </c>
      <c r="F17" s="65">
        <v>0</v>
      </c>
      <c r="G17" s="65">
        <v>0</v>
      </c>
      <c r="H17" s="65">
        <v>0</v>
      </c>
      <c r="I17" s="65">
        <v>0</v>
      </c>
      <c r="J17" s="65">
        <v>0</v>
      </c>
      <c r="K17" s="65">
        <v>0</v>
      </c>
      <c r="L17" s="65">
        <v>-8579191</v>
      </c>
      <c r="M17" s="65">
        <v>0</v>
      </c>
      <c r="N17" s="65">
        <f t="shared" si="3"/>
        <v>-8579191</v>
      </c>
    </row>
    <row r="18" spans="1:14" x14ac:dyDescent="0.35">
      <c r="A18" s="64" t="s">
        <v>319</v>
      </c>
      <c r="B18" s="65">
        <v>0</v>
      </c>
      <c r="C18" s="65">
        <v>0</v>
      </c>
      <c r="D18" s="65">
        <v>0</v>
      </c>
      <c r="E18" s="65">
        <v>0</v>
      </c>
      <c r="F18" s="65">
        <v>0</v>
      </c>
      <c r="G18" s="65">
        <v>0</v>
      </c>
      <c r="H18" s="65">
        <v>0</v>
      </c>
      <c r="I18" s="65">
        <v>0</v>
      </c>
      <c r="J18" s="65">
        <v>0</v>
      </c>
      <c r="K18" s="65">
        <v>0</v>
      </c>
      <c r="L18" s="65">
        <v>0</v>
      </c>
      <c r="M18" s="65">
        <v>0</v>
      </c>
      <c r="N18" s="65">
        <f t="shared" si="3"/>
        <v>0</v>
      </c>
    </row>
    <row r="19" spans="1:14" x14ac:dyDescent="0.35">
      <c r="A19" s="69" t="s">
        <v>114</v>
      </c>
      <c r="B19" s="70">
        <f>SUM(B14:B18)</f>
        <v>-11439433</v>
      </c>
      <c r="C19" s="70">
        <f t="shared" ref="C19:M19" si="4">SUM(C14:C18)</f>
        <v>-14359243</v>
      </c>
      <c r="D19" s="70">
        <f t="shared" si="4"/>
        <v>-21819503</v>
      </c>
      <c r="E19" s="70">
        <f t="shared" si="4"/>
        <v>-19021933</v>
      </c>
      <c r="F19" s="70">
        <f t="shared" si="4"/>
        <v>-18407812</v>
      </c>
      <c r="G19" s="70">
        <f t="shared" si="4"/>
        <v>-17581523</v>
      </c>
      <c r="H19" s="70">
        <f t="shared" si="4"/>
        <v>-19129193</v>
      </c>
      <c r="I19" s="70">
        <f t="shared" si="4"/>
        <v>-18568834</v>
      </c>
      <c r="J19" s="70">
        <f t="shared" si="4"/>
        <v>-17881197</v>
      </c>
      <c r="K19" s="70">
        <f t="shared" si="4"/>
        <v>-17774929</v>
      </c>
      <c r="L19" s="70">
        <f t="shared" si="4"/>
        <v>-27518667</v>
      </c>
      <c r="M19" s="70">
        <f t="shared" si="4"/>
        <v>-22606430</v>
      </c>
      <c r="N19" s="70">
        <f t="shared" si="3"/>
        <v>-226108697</v>
      </c>
    </row>
    <row r="20" spans="1:14" x14ac:dyDescent="0.35">
      <c r="A20" s="59"/>
      <c r="B20" s="65"/>
      <c r="C20" s="65"/>
      <c r="D20" s="65"/>
      <c r="E20" s="65"/>
      <c r="F20" s="65"/>
      <c r="G20" s="65"/>
      <c r="H20" s="65"/>
      <c r="I20" s="65"/>
      <c r="J20" s="65"/>
      <c r="K20" s="65"/>
      <c r="L20" s="65"/>
      <c r="M20" s="65"/>
      <c r="N20" s="65"/>
    </row>
    <row r="21" spans="1:14" x14ac:dyDescent="0.35">
      <c r="A21" s="69" t="s">
        <v>320</v>
      </c>
      <c r="B21" s="70">
        <f>B12+B19</f>
        <v>-9928258</v>
      </c>
      <c r="C21" s="70">
        <f t="shared" ref="C21:M21" si="5">C12+C19</f>
        <v>-3416266</v>
      </c>
      <c r="D21" s="70">
        <f t="shared" si="5"/>
        <v>-903622</v>
      </c>
      <c r="E21" s="70">
        <f t="shared" si="5"/>
        <v>28898920</v>
      </c>
      <c r="F21" s="70">
        <f t="shared" si="5"/>
        <v>-2257216</v>
      </c>
      <c r="G21" s="70">
        <f t="shared" si="5"/>
        <v>-5380020</v>
      </c>
      <c r="H21" s="70">
        <f t="shared" si="5"/>
        <v>-6779054</v>
      </c>
      <c r="I21" s="70">
        <f t="shared" si="5"/>
        <v>-3439941</v>
      </c>
      <c r="J21" s="70">
        <f t="shared" si="5"/>
        <v>-1676363</v>
      </c>
      <c r="K21" s="70">
        <f t="shared" si="5"/>
        <v>24779137.950000003</v>
      </c>
      <c r="L21" s="70">
        <f t="shared" si="5"/>
        <v>-9256658.1199999973</v>
      </c>
      <c r="M21" s="70">
        <f t="shared" si="5"/>
        <v>-3693467.9900000021</v>
      </c>
      <c r="N21" s="70">
        <f>SUM(B21:M21)</f>
        <v>6947191.8400000036</v>
      </c>
    </row>
    <row r="22" spans="1:14" x14ac:dyDescent="0.35">
      <c r="A22" s="62" t="s">
        <v>116</v>
      </c>
      <c r="B22" s="65">
        <f>B5+B21</f>
        <v>9436503</v>
      </c>
      <c r="C22" s="65">
        <f t="shared" ref="C22:M22" si="6">C5+C21</f>
        <v>6020237</v>
      </c>
      <c r="D22" s="65">
        <f t="shared" si="6"/>
        <v>5116615</v>
      </c>
      <c r="E22" s="65">
        <f t="shared" si="6"/>
        <v>34015535</v>
      </c>
      <c r="F22" s="65">
        <f t="shared" si="6"/>
        <v>31758319</v>
      </c>
      <c r="G22" s="65">
        <f t="shared" si="6"/>
        <v>26378299</v>
      </c>
      <c r="H22" s="65">
        <f t="shared" si="6"/>
        <v>19599245</v>
      </c>
      <c r="I22" s="65">
        <f t="shared" si="6"/>
        <v>16159304</v>
      </c>
      <c r="J22" s="65">
        <f t="shared" si="6"/>
        <v>14482941</v>
      </c>
      <c r="K22" s="65">
        <f t="shared" si="6"/>
        <v>39262078.950000003</v>
      </c>
      <c r="L22" s="65">
        <f t="shared" si="6"/>
        <v>30005420.830000006</v>
      </c>
      <c r="M22" s="72">
        <f t="shared" si="6"/>
        <v>26311952.840000004</v>
      </c>
      <c r="N22" s="65">
        <f>M22</f>
        <v>26311952.840000004</v>
      </c>
    </row>
    <row r="24" spans="1:14" x14ac:dyDescent="0.35">
      <c r="A24" s="74" t="s">
        <v>321</v>
      </c>
    </row>
    <row r="25" spans="1:14" x14ac:dyDescent="0.35">
      <c r="A25" s="56" t="s">
        <v>322</v>
      </c>
      <c r="B25" s="76">
        <v>9436504</v>
      </c>
      <c r="C25" s="76">
        <v>6020238</v>
      </c>
      <c r="D25" s="76">
        <v>5116615</v>
      </c>
      <c r="E25" s="76">
        <v>34015535</v>
      </c>
      <c r="F25" s="76">
        <v>31758319</v>
      </c>
      <c r="G25" s="76">
        <v>26378299</v>
      </c>
      <c r="H25" s="76">
        <v>19599245</v>
      </c>
      <c r="I25" s="76">
        <v>16159305</v>
      </c>
      <c r="J25" s="76">
        <v>14482941</v>
      </c>
      <c r="K25" s="76">
        <v>39262079</v>
      </c>
      <c r="L25" s="76">
        <v>30005421</v>
      </c>
      <c r="M25" s="76">
        <v>26311953</v>
      </c>
    </row>
    <row r="26" spans="1:14" x14ac:dyDescent="0.35">
      <c r="A26" s="56" t="s">
        <v>323</v>
      </c>
      <c r="B26" s="75">
        <f>B22-B25</f>
        <v>-1</v>
      </c>
      <c r="C26" s="75">
        <f t="shared" ref="C26:M26" si="7">C22-C25</f>
        <v>-1</v>
      </c>
      <c r="D26" s="75">
        <f t="shared" si="7"/>
        <v>0</v>
      </c>
      <c r="E26" s="75">
        <f t="shared" si="7"/>
        <v>0</v>
      </c>
      <c r="F26" s="75">
        <f t="shared" si="7"/>
        <v>0</v>
      </c>
      <c r="G26" s="75">
        <f t="shared" si="7"/>
        <v>0</v>
      </c>
      <c r="H26" s="75">
        <f t="shared" si="7"/>
        <v>0</v>
      </c>
      <c r="I26" s="75">
        <f t="shared" si="7"/>
        <v>-1</v>
      </c>
      <c r="J26" s="75">
        <f t="shared" si="7"/>
        <v>0</v>
      </c>
      <c r="K26" s="75">
        <f t="shared" si="7"/>
        <v>-4.9999997019767761E-2</v>
      </c>
      <c r="L26" s="75">
        <f t="shared" si="7"/>
        <v>-0.16999999433755875</v>
      </c>
      <c r="M26" s="75">
        <f t="shared" si="7"/>
        <v>-0.15999999642372131</v>
      </c>
    </row>
    <row r="28" spans="1:14" x14ac:dyDescent="0.35">
      <c r="A28" s="45" t="s">
        <v>324</v>
      </c>
    </row>
    <row r="29" spans="1:14" x14ac:dyDescent="0.35">
      <c r="A29" s="56" t="s">
        <v>325</v>
      </c>
      <c r="B29" s="76">
        <v>-649862</v>
      </c>
    </row>
    <row r="30" spans="1:14" x14ac:dyDescent="0.35">
      <c r="A30" s="56" t="s">
        <v>326</v>
      </c>
      <c r="B30" s="76">
        <v>5602301</v>
      </c>
    </row>
    <row r="31" spans="1:14" x14ac:dyDescent="0.35">
      <c r="A31" s="7" t="s">
        <v>327</v>
      </c>
      <c r="B31" s="77">
        <f>B29+B30</f>
        <v>4952439</v>
      </c>
      <c r="C31" t="s">
        <v>328</v>
      </c>
    </row>
    <row r="35" spans="2:13" x14ac:dyDescent="0.35">
      <c r="B35" s="75">
        <f>B5+SUM(B14:B15)</f>
        <v>7925328</v>
      </c>
      <c r="C35" s="75">
        <f>C5+SUM(C14:C15)</f>
        <v>-4922740</v>
      </c>
      <c r="D35" s="75">
        <f t="shared" ref="D35:M35" si="8">D5+SUM(D14:D15)</f>
        <v>-15799266</v>
      </c>
      <c r="E35" s="75">
        <f t="shared" si="8"/>
        <v>-13905318</v>
      </c>
      <c r="F35" s="75">
        <f t="shared" si="8"/>
        <v>15607723</v>
      </c>
      <c r="G35" s="75">
        <f t="shared" si="8"/>
        <v>14176796</v>
      </c>
      <c r="H35" s="75">
        <f t="shared" si="8"/>
        <v>7249106</v>
      </c>
      <c r="I35" s="75">
        <f t="shared" si="8"/>
        <v>1030411</v>
      </c>
      <c r="J35" s="75">
        <f t="shared" si="8"/>
        <v>-1721893</v>
      </c>
      <c r="K35" s="75">
        <f t="shared" si="8"/>
        <v>-3271988</v>
      </c>
      <c r="L35" s="75">
        <f t="shared" si="8"/>
        <v>20322602.950000003</v>
      </c>
      <c r="M35" s="75">
        <f t="shared" si="8"/>
        <v>7398990.8300000057</v>
      </c>
    </row>
    <row r="38" spans="2:13" x14ac:dyDescent="0.35">
      <c r="C38" s="75"/>
      <c r="D38" s="75"/>
      <c r="E38" s="75"/>
      <c r="F38" s="75"/>
      <c r="G38" s="75"/>
      <c r="H38" s="75"/>
      <c r="I38" s="75"/>
      <c r="J38" s="75"/>
      <c r="K38" s="75"/>
      <c r="L38" s="75"/>
      <c r="M38" s="75"/>
    </row>
  </sheetData>
  <conditionalFormatting sqref="B35:M35">
    <cfRule type="cellIs" dxfId="6" priority="1" operator="lessThan">
      <formula>0</formula>
    </cfRule>
  </conditionalFormatting>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67C617-4E2B-4453-8114-39DEFF8E035B}">
  <dimension ref="A1:T63"/>
  <sheetViews>
    <sheetView tabSelected="1" zoomScale="80" zoomScaleNormal="80" workbookViewId="0">
      <pane xSplit="1" topLeftCell="E1" activePane="topRight" state="frozen"/>
      <selection pane="topRight" activeCell="M35" sqref="M35"/>
    </sheetView>
  </sheetViews>
  <sheetFormatPr defaultRowHeight="14.5" outlineLevelRow="1" x14ac:dyDescent="0.35"/>
  <cols>
    <col min="1" max="1" width="38.1796875" customWidth="1"/>
    <col min="2" max="14" width="16" customWidth="1"/>
    <col min="15" max="15" width="15.81640625" bestFit="1" customWidth="1"/>
    <col min="16" max="16" width="16.36328125" bestFit="1" customWidth="1"/>
    <col min="17" max="20" width="15.81640625" bestFit="1" customWidth="1"/>
  </cols>
  <sheetData>
    <row r="1" spans="1:16" ht="18.5" x14ac:dyDescent="0.45">
      <c r="A1" s="1" t="s">
        <v>0</v>
      </c>
    </row>
    <row r="2" spans="1:16" ht="16" x14ac:dyDescent="0.4">
      <c r="A2" s="2" t="s">
        <v>100</v>
      </c>
    </row>
    <row r="3" spans="1:16" x14ac:dyDescent="0.35">
      <c r="A3" s="3" t="s">
        <v>101</v>
      </c>
    </row>
    <row r="4" spans="1:16" x14ac:dyDescent="0.35">
      <c r="B4" s="36">
        <v>46204</v>
      </c>
      <c r="C4" s="36">
        <v>46235</v>
      </c>
      <c r="D4" s="36">
        <v>46266</v>
      </c>
      <c r="E4" s="36">
        <v>46296</v>
      </c>
      <c r="F4" s="36">
        <v>46327</v>
      </c>
      <c r="G4" s="36">
        <v>46357</v>
      </c>
      <c r="H4" s="36">
        <v>46388</v>
      </c>
      <c r="I4" s="36">
        <v>46419</v>
      </c>
      <c r="J4" s="36">
        <v>46447</v>
      </c>
      <c r="K4" s="36">
        <v>46478</v>
      </c>
      <c r="L4" s="36">
        <v>46508</v>
      </c>
      <c r="M4" s="36">
        <v>46539</v>
      </c>
      <c r="N4" s="16" t="s">
        <v>128</v>
      </c>
    </row>
    <row r="5" spans="1:16" x14ac:dyDescent="0.35">
      <c r="A5" s="22" t="s">
        <v>102</v>
      </c>
      <c r="B5" s="26">
        <f>Assumptions!B7</f>
        <v>26311952.840000004</v>
      </c>
      <c r="C5" s="27">
        <f>B22</f>
        <v>40963895.840000004</v>
      </c>
      <c r="D5" s="27">
        <f t="shared" ref="D5:M5" si="0">C22</f>
        <v>27179508.840000004</v>
      </c>
      <c r="E5" s="27">
        <f t="shared" si="0"/>
        <v>12214853.840000004</v>
      </c>
      <c r="F5" s="27">
        <f t="shared" si="0"/>
        <v>60400062.840000004</v>
      </c>
      <c r="G5" s="27">
        <f t="shared" si="0"/>
        <v>44388889.840000004</v>
      </c>
      <c r="H5" s="27">
        <f t="shared" si="0"/>
        <v>27767692.840000004</v>
      </c>
      <c r="I5" s="27">
        <f t="shared" si="0"/>
        <v>35549672.840000004</v>
      </c>
      <c r="J5" s="27">
        <f t="shared" si="0"/>
        <v>18049074.840000004</v>
      </c>
      <c r="K5" s="27">
        <f t="shared" si="0"/>
        <v>3552151.8400000036</v>
      </c>
      <c r="L5" s="27">
        <f t="shared" si="0"/>
        <v>47821753.840000004</v>
      </c>
      <c r="M5" s="27">
        <f t="shared" si="0"/>
        <v>27788586.840000004</v>
      </c>
      <c r="N5" s="27">
        <f>B5</f>
        <v>26311952.840000004</v>
      </c>
    </row>
    <row r="6" spans="1:16" x14ac:dyDescent="0.35">
      <c r="N6" s="19"/>
    </row>
    <row r="7" spans="1:16" x14ac:dyDescent="0.35">
      <c r="A7" t="s">
        <v>103</v>
      </c>
      <c r="B7" s="8">
        <v>26990090</v>
      </c>
      <c r="C7" s="8">
        <v>0</v>
      </c>
      <c r="D7" s="8">
        <v>0</v>
      </c>
      <c r="E7" s="8">
        <v>26539729</v>
      </c>
      <c r="F7" s="8">
        <v>0</v>
      </c>
      <c r="G7" s="8">
        <v>0</v>
      </c>
      <c r="H7" s="8">
        <v>26539729</v>
      </c>
      <c r="I7" s="8">
        <v>0</v>
      </c>
      <c r="J7" s="8">
        <v>0</v>
      </c>
      <c r="K7" s="8">
        <v>26539729</v>
      </c>
      <c r="L7" s="8">
        <v>0</v>
      </c>
      <c r="M7" s="8">
        <v>0</v>
      </c>
      <c r="N7" s="19">
        <f t="shared" ref="N7:N12" si="1">SUM(B7:M7)</f>
        <v>106609277</v>
      </c>
      <c r="O7" s="19">
        <f>N7+N8+N9</f>
        <v>223849575</v>
      </c>
      <c r="P7" s="19">
        <f>O7+O14</f>
        <v>-3857921</v>
      </c>
    </row>
    <row r="8" spans="1:16" x14ac:dyDescent="0.35">
      <c r="A8" t="s">
        <v>104</v>
      </c>
      <c r="B8" s="8">
        <v>330680</v>
      </c>
      <c r="C8" s="8">
        <v>1067</v>
      </c>
      <c r="D8" s="8">
        <v>6213734</v>
      </c>
      <c r="E8" s="8">
        <v>37780407</v>
      </c>
      <c r="F8" s="8">
        <v>5229494</v>
      </c>
      <c r="G8" s="8">
        <v>1330659</v>
      </c>
      <c r="H8" s="8">
        <v>814914</v>
      </c>
      <c r="I8" s="8">
        <v>361885</v>
      </c>
      <c r="J8" s="8">
        <v>3114234</v>
      </c>
      <c r="K8" s="8">
        <v>34410107</v>
      </c>
      <c r="L8" s="8">
        <v>4211857</v>
      </c>
      <c r="M8" s="8">
        <v>895682</v>
      </c>
      <c r="N8" s="19">
        <f t="shared" si="1"/>
        <v>94694720</v>
      </c>
    </row>
    <row r="9" spans="1:16" x14ac:dyDescent="0.35">
      <c r="A9" t="s">
        <v>105</v>
      </c>
      <c r="B9" s="8">
        <v>997681</v>
      </c>
      <c r="C9" s="8">
        <v>941910</v>
      </c>
      <c r="D9" s="8">
        <v>4053518</v>
      </c>
      <c r="E9" s="8">
        <v>3490933</v>
      </c>
      <c r="F9" s="8">
        <v>272031</v>
      </c>
      <c r="G9" s="8">
        <v>221773</v>
      </c>
      <c r="H9" s="8">
        <v>121611</v>
      </c>
      <c r="I9" s="8">
        <v>1279133</v>
      </c>
      <c r="J9" s="8">
        <v>1333325</v>
      </c>
      <c r="K9" s="8">
        <v>2010464</v>
      </c>
      <c r="L9" s="8">
        <v>1692802</v>
      </c>
      <c r="M9" s="8">
        <v>6130397</v>
      </c>
      <c r="N9" s="19">
        <f t="shared" si="1"/>
        <v>22545578</v>
      </c>
    </row>
    <row r="10" spans="1:16" x14ac:dyDescent="0.35">
      <c r="A10" t="s">
        <v>106</v>
      </c>
      <c r="B10" s="14">
        <f>SUMIFS('Interfund Matrix'!$H$5:$H$11,'Interfund Matrix'!$D$5:$D$11,"General Fund",'Interfund Matrix'!$E$5:$E$11,B$4)</f>
        <v>0</v>
      </c>
      <c r="C10" s="14">
        <f>SUMIFS('Interfund Matrix'!$H$5:$H$11,'Interfund Matrix'!$D$5:$D$11,"General Fund",'Interfund Matrix'!$E$5:$E$11,C$4)</f>
        <v>0</v>
      </c>
      <c r="D10" s="14">
        <f>SUMIFS('Interfund Matrix'!$H$5:$H$11,'Interfund Matrix'!$D$5:$D$11,"General Fund",'Interfund Matrix'!$E$5:$E$11,D$4)</f>
        <v>7759200</v>
      </c>
      <c r="E10" s="14">
        <f>SUMIFS('Interfund Matrix'!$H$5:$H$11,'Interfund Matrix'!$D$5:$D$11,"General Fund",'Interfund Matrix'!$E$5:$E$11,E$4)</f>
        <v>0</v>
      </c>
      <c r="F10" s="14">
        <f>SUMIFS('Interfund Matrix'!$H$5:$H$11,'Interfund Matrix'!$D$5:$D$11,"General Fund",'Interfund Matrix'!$E$5:$E$11,F$4)</f>
        <v>0</v>
      </c>
      <c r="G10" s="14">
        <f>SUMIFS('Interfund Matrix'!$H$5:$H$11,'Interfund Matrix'!$D$5:$D$11,"General Fund",'Interfund Matrix'!$E$5:$E$11,G$4)</f>
        <v>0</v>
      </c>
      <c r="H10" s="14">
        <f>SUMIFS('Interfund Matrix'!$H$5:$H$11,'Interfund Matrix'!$D$5:$D$11,"General Fund",'Interfund Matrix'!$E$5:$E$11,H$4)</f>
        <v>0</v>
      </c>
      <c r="I10" s="14">
        <f>SUMIFS('Interfund Matrix'!$H$5:$H$11,'Interfund Matrix'!$D$5:$D$11,"General Fund",'Interfund Matrix'!$E$5:$E$11,I$4)</f>
        <v>0</v>
      </c>
      <c r="J10" s="14">
        <f>SUMIFS('Interfund Matrix'!$H$5:$H$11,'Interfund Matrix'!$D$5:$D$11,"General Fund",'Interfund Matrix'!$E$5:$E$11,J$4)</f>
        <v>0</v>
      </c>
      <c r="K10" s="14">
        <f>SUMIFS('Interfund Matrix'!$H$5:$H$11,'Interfund Matrix'!$D$5:$D$11,"General Fund",'Interfund Matrix'!$E$5:$E$11,K$4)</f>
        <v>0</v>
      </c>
      <c r="L10" s="14">
        <f>SUMIFS('Interfund Matrix'!$H$5:$H$11,'Interfund Matrix'!$D$5:$D$11,"General Fund",'Interfund Matrix'!$E$5:$E$11,L$4)</f>
        <v>0</v>
      </c>
      <c r="M10" s="14">
        <f>SUMIFS('Interfund Matrix'!$H$5:$H$11,'Interfund Matrix'!$D$5:$D$11,"General Fund",'Interfund Matrix'!$E$5:$E$11,M$4)</f>
        <v>0</v>
      </c>
      <c r="N10" s="19">
        <f t="shared" si="1"/>
        <v>7759200</v>
      </c>
    </row>
    <row r="11" spans="1:16" x14ac:dyDescent="0.35">
      <c r="A11" t="s">
        <v>107</v>
      </c>
      <c r="B11" s="19">
        <f>B26</f>
        <v>0</v>
      </c>
      <c r="C11" s="19">
        <f t="shared" ref="C11:M11" si="2">C26</f>
        <v>0</v>
      </c>
      <c r="D11" s="19">
        <f t="shared" si="2"/>
        <v>0</v>
      </c>
      <c r="E11" s="19">
        <f t="shared" si="2"/>
        <v>0</v>
      </c>
      <c r="F11" s="19">
        <f t="shared" si="2"/>
        <v>0</v>
      </c>
      <c r="G11" s="19">
        <f t="shared" si="2"/>
        <v>0</v>
      </c>
      <c r="H11" s="19">
        <f t="shared" si="2"/>
        <v>0</v>
      </c>
      <c r="I11" s="19">
        <f t="shared" si="2"/>
        <v>0</v>
      </c>
      <c r="J11" s="19">
        <f t="shared" si="2"/>
        <v>0</v>
      </c>
      <c r="K11" s="19">
        <f t="shared" si="2"/>
        <v>0</v>
      </c>
      <c r="L11" s="19">
        <f t="shared" si="2"/>
        <v>0</v>
      </c>
      <c r="M11" s="19">
        <f t="shared" si="2"/>
        <v>0</v>
      </c>
      <c r="N11" s="19">
        <f t="shared" si="1"/>
        <v>0</v>
      </c>
    </row>
    <row r="12" spans="1:16" x14ac:dyDescent="0.35">
      <c r="A12" s="28" t="s">
        <v>108</v>
      </c>
      <c r="B12" s="29">
        <f>SUM(B7:B11)</f>
        <v>28318451</v>
      </c>
      <c r="C12" s="29">
        <f t="shared" ref="C12:M12" si="3">SUM(C7:C11)</f>
        <v>942977</v>
      </c>
      <c r="D12" s="29">
        <f t="shared" si="3"/>
        <v>18026452</v>
      </c>
      <c r="E12" s="29">
        <f t="shared" si="3"/>
        <v>67811069</v>
      </c>
      <c r="F12" s="29">
        <f t="shared" si="3"/>
        <v>5501525</v>
      </c>
      <c r="G12" s="29">
        <f t="shared" si="3"/>
        <v>1552432</v>
      </c>
      <c r="H12" s="29">
        <f t="shared" si="3"/>
        <v>27476254</v>
      </c>
      <c r="I12" s="29">
        <f t="shared" si="3"/>
        <v>1641018</v>
      </c>
      <c r="J12" s="29">
        <f t="shared" si="3"/>
        <v>4447559</v>
      </c>
      <c r="K12" s="29">
        <f t="shared" si="3"/>
        <v>62960300</v>
      </c>
      <c r="L12" s="29">
        <f t="shared" si="3"/>
        <v>5904659</v>
      </c>
      <c r="M12" s="29">
        <f t="shared" si="3"/>
        <v>7026079</v>
      </c>
      <c r="N12" s="29">
        <f t="shared" si="1"/>
        <v>231608775</v>
      </c>
    </row>
    <row r="13" spans="1:16" x14ac:dyDescent="0.35">
      <c r="N13" s="19"/>
    </row>
    <row r="14" spans="1:16" x14ac:dyDescent="0.35">
      <c r="A14" t="s">
        <v>109</v>
      </c>
      <c r="B14" s="8">
        <v>-12142419</v>
      </c>
      <c r="C14" s="8">
        <v>-12452268</v>
      </c>
      <c r="D14" s="8">
        <v>-16656776</v>
      </c>
      <c r="E14" s="8">
        <v>-17157806</v>
      </c>
      <c r="F14" s="8">
        <v>-17181797</v>
      </c>
      <c r="G14" s="8">
        <v>-16925278</v>
      </c>
      <c r="H14" s="8">
        <v>-16372082</v>
      </c>
      <c r="I14" s="8">
        <v>-17122233</v>
      </c>
      <c r="J14" s="8">
        <v>-17145015</v>
      </c>
      <c r="K14" s="8">
        <v>-16902602</v>
      </c>
      <c r="L14" s="8">
        <v>-17707505</v>
      </c>
      <c r="M14" s="8">
        <v>-20254384</v>
      </c>
      <c r="N14" s="19">
        <f t="shared" ref="N14:N19" si="4">SUM(B14:M14)</f>
        <v>-198020165</v>
      </c>
      <c r="O14" s="19">
        <f>N14+N15</f>
        <v>-227707496</v>
      </c>
    </row>
    <row r="15" spans="1:16" x14ac:dyDescent="0.35">
      <c r="A15" t="s">
        <v>110</v>
      </c>
      <c r="B15" s="8">
        <v>-1524089</v>
      </c>
      <c r="C15" s="8">
        <v>-2275096</v>
      </c>
      <c r="D15" s="8">
        <v>-5734331</v>
      </c>
      <c r="E15" s="8">
        <v>-2468054</v>
      </c>
      <c r="F15" s="8">
        <v>-1830901</v>
      </c>
      <c r="G15" s="8">
        <v>-1248351</v>
      </c>
      <c r="H15" s="8">
        <v>-3322192</v>
      </c>
      <c r="I15" s="8">
        <v>-2019383</v>
      </c>
      <c r="J15" s="8">
        <v>-1799467</v>
      </c>
      <c r="K15" s="8">
        <v>-1788096</v>
      </c>
      <c r="L15" s="8">
        <v>-2130321</v>
      </c>
      <c r="M15" s="8">
        <v>-3547050</v>
      </c>
      <c r="N15" s="19">
        <f t="shared" si="4"/>
        <v>-29687331</v>
      </c>
    </row>
    <row r="16" spans="1:16" x14ac:dyDescent="0.35">
      <c r="A16" t="s">
        <v>111</v>
      </c>
      <c r="B16" s="14">
        <f>-SUMIFS('Interfund Matrix'!$H$5:$H$11,'Interfund Matrix'!$C$5:$C$11,"General Fund",'Interfund Matrix'!$E$5:$E$11,B$4)</f>
        <v>0</v>
      </c>
      <c r="C16" s="14">
        <f>-SUMIFS('Interfund Matrix'!$H$5:$H$11,'Interfund Matrix'!$C$5:$C$11,"General Fund",'Interfund Matrix'!$E$5:$E$11,C$4)</f>
        <v>0</v>
      </c>
      <c r="D16" s="14">
        <f>-SUMIFS('Interfund Matrix'!$H$5:$H$11,'Interfund Matrix'!$C$5:$C$11,"General Fund",'Interfund Matrix'!$E$5:$E$11,D$4)</f>
        <v>-10600000</v>
      </c>
      <c r="E16" s="14">
        <f>-SUMIFS('Interfund Matrix'!$H$5:$H$11,'Interfund Matrix'!$C$5:$C$11,"General Fund",'Interfund Matrix'!$E$5:$E$11,E$4)</f>
        <v>0</v>
      </c>
      <c r="F16" s="14">
        <f>-SUMIFS('Interfund Matrix'!$H$5:$H$11,'Interfund Matrix'!$C$5:$C$11,"General Fund",'Interfund Matrix'!$E$5:$E$11,F$4)</f>
        <v>-2500000</v>
      </c>
      <c r="G16" s="14">
        <f>-SUMIFS('Interfund Matrix'!$H$5:$H$11,'Interfund Matrix'!$C$5:$C$11,"General Fund",'Interfund Matrix'!$E$5:$E$11,G$4)</f>
        <v>0</v>
      </c>
      <c r="H16" s="14">
        <f>-SUMIFS('Interfund Matrix'!$H$5:$H$11,'Interfund Matrix'!$C$5:$C$11,"General Fund",'Interfund Matrix'!$E$5:$E$11,H$4)</f>
        <v>0</v>
      </c>
      <c r="I16" s="14">
        <f>-SUMIFS('Interfund Matrix'!$H$5:$H$11,'Interfund Matrix'!$C$5:$C$11,"General Fund",'Interfund Matrix'!$E$5:$E$11,I$4)</f>
        <v>0</v>
      </c>
      <c r="J16" s="14">
        <f>-SUMIFS('Interfund Matrix'!$H$5:$H$11,'Interfund Matrix'!$C$5:$C$11,"General Fund",'Interfund Matrix'!$E$5:$E$11,J$4)</f>
        <v>0</v>
      </c>
      <c r="K16" s="14">
        <f>-SUMIFS('Interfund Matrix'!$H$5:$H$11,'Interfund Matrix'!$C$5:$C$11,"General Fund",'Interfund Matrix'!$E$5:$E$11,K$4)</f>
        <v>0</v>
      </c>
      <c r="L16" s="14">
        <f>-SUMIFS('Interfund Matrix'!$H$5:$H$11,'Interfund Matrix'!$C$5:$C$11,"General Fund",'Interfund Matrix'!$E$5:$E$11,L$4)</f>
        <v>-6100000</v>
      </c>
      <c r="M16" s="14">
        <f>-SUMIFS('Interfund Matrix'!$H$5:$H$11,'Interfund Matrix'!$C$5:$C$11,"General Fund",'Interfund Matrix'!$E$5:$E$11,M$4)</f>
        <v>0</v>
      </c>
      <c r="N16" s="19">
        <f t="shared" si="4"/>
        <v>-19200000</v>
      </c>
    </row>
    <row r="17" spans="1:14" x14ac:dyDescent="0.35">
      <c r="A17" t="s">
        <v>112</v>
      </c>
      <c r="B17" s="19">
        <f>B27</f>
        <v>0</v>
      </c>
      <c r="C17" s="19">
        <f t="shared" ref="C17:M17" si="5">C27</f>
        <v>0</v>
      </c>
      <c r="D17" s="19">
        <f t="shared" si="5"/>
        <v>0</v>
      </c>
      <c r="E17" s="19">
        <f t="shared" si="5"/>
        <v>0</v>
      </c>
      <c r="F17" s="19">
        <f t="shared" si="5"/>
        <v>0</v>
      </c>
      <c r="G17" s="19">
        <f t="shared" si="5"/>
        <v>0</v>
      </c>
      <c r="H17" s="19">
        <f t="shared" si="5"/>
        <v>0</v>
      </c>
      <c r="I17" s="19">
        <f t="shared" si="5"/>
        <v>0</v>
      </c>
      <c r="J17" s="19">
        <f t="shared" si="5"/>
        <v>0</v>
      </c>
      <c r="K17" s="19">
        <f t="shared" si="5"/>
        <v>0</v>
      </c>
      <c r="L17" s="19">
        <f t="shared" si="5"/>
        <v>0</v>
      </c>
      <c r="M17" s="19">
        <f t="shared" si="5"/>
        <v>0</v>
      </c>
      <c r="N17" s="19">
        <f t="shared" si="4"/>
        <v>0</v>
      </c>
    </row>
    <row r="18" spans="1:14" x14ac:dyDescent="0.35">
      <c r="A18" t="s">
        <v>113</v>
      </c>
      <c r="B18" s="19">
        <f>-B25*Assumptions!$B$15/12</f>
        <v>0</v>
      </c>
      <c r="C18" s="19">
        <f>-C25*Assumptions!$B$15/12</f>
        <v>0</v>
      </c>
      <c r="D18" s="19">
        <f>-D25*Assumptions!$B$15/12</f>
        <v>0</v>
      </c>
      <c r="E18" s="19">
        <f>-E25*Assumptions!$B$15/12</f>
        <v>0</v>
      </c>
      <c r="F18" s="19">
        <f>-F25*Assumptions!$B$15/12</f>
        <v>0</v>
      </c>
      <c r="G18" s="19">
        <f>-G25*Assumptions!$B$15/12</f>
        <v>0</v>
      </c>
      <c r="H18" s="19">
        <f>-H25*Assumptions!$B$15/12</f>
        <v>0</v>
      </c>
      <c r="I18" s="19">
        <f>-I25*Assumptions!$B$15/12</f>
        <v>0</v>
      </c>
      <c r="J18" s="19">
        <f>-J25*Assumptions!$B$15/12</f>
        <v>0</v>
      </c>
      <c r="K18" s="19">
        <f>-K25*Assumptions!$B$15/12</f>
        <v>0</v>
      </c>
      <c r="L18" s="19">
        <f>-L25*Assumptions!$B$15/12</f>
        <v>0</v>
      </c>
      <c r="M18" s="19">
        <f>-M25*Assumptions!$B$15/12</f>
        <v>0</v>
      </c>
      <c r="N18" s="19">
        <f t="shared" si="4"/>
        <v>0</v>
      </c>
    </row>
    <row r="19" spans="1:14" x14ac:dyDescent="0.35">
      <c r="A19" s="28" t="s">
        <v>114</v>
      </c>
      <c r="B19" s="29">
        <f>SUM(B14:B18)</f>
        <v>-13666508</v>
      </c>
      <c r="C19" s="29">
        <f t="shared" ref="C19:M19" si="6">SUM(C14:C18)</f>
        <v>-14727364</v>
      </c>
      <c r="D19" s="29">
        <f t="shared" si="6"/>
        <v>-32991107</v>
      </c>
      <c r="E19" s="29">
        <f t="shared" si="6"/>
        <v>-19625860</v>
      </c>
      <c r="F19" s="29">
        <f t="shared" si="6"/>
        <v>-21512698</v>
      </c>
      <c r="G19" s="29">
        <f t="shared" si="6"/>
        <v>-18173629</v>
      </c>
      <c r="H19" s="29">
        <f t="shared" si="6"/>
        <v>-19694274</v>
      </c>
      <c r="I19" s="29">
        <f t="shared" si="6"/>
        <v>-19141616</v>
      </c>
      <c r="J19" s="29">
        <f t="shared" si="6"/>
        <v>-18944482</v>
      </c>
      <c r="K19" s="29">
        <f t="shared" si="6"/>
        <v>-18690698</v>
      </c>
      <c r="L19" s="29">
        <f t="shared" si="6"/>
        <v>-25937826</v>
      </c>
      <c r="M19" s="29">
        <f t="shared" si="6"/>
        <v>-23801434</v>
      </c>
      <c r="N19" s="29">
        <f t="shared" si="4"/>
        <v>-246907496</v>
      </c>
    </row>
    <row r="20" spans="1:14" x14ac:dyDescent="0.35">
      <c r="N20" s="19"/>
    </row>
    <row r="21" spans="1:14" x14ac:dyDescent="0.35">
      <c r="A21" s="28" t="s">
        <v>115</v>
      </c>
      <c r="B21" s="29">
        <f>B12+B19</f>
        <v>14651943</v>
      </c>
      <c r="C21" s="29">
        <f t="shared" ref="C21:M21" si="7">C12+C19</f>
        <v>-13784387</v>
      </c>
      <c r="D21" s="29">
        <f t="shared" si="7"/>
        <v>-14964655</v>
      </c>
      <c r="E21" s="29">
        <f t="shared" si="7"/>
        <v>48185209</v>
      </c>
      <c r="F21" s="29">
        <f t="shared" si="7"/>
        <v>-16011173</v>
      </c>
      <c r="G21" s="29">
        <f t="shared" si="7"/>
        <v>-16621197</v>
      </c>
      <c r="H21" s="29">
        <f t="shared" si="7"/>
        <v>7781980</v>
      </c>
      <c r="I21" s="29">
        <f t="shared" si="7"/>
        <v>-17500598</v>
      </c>
      <c r="J21" s="29">
        <f t="shared" si="7"/>
        <v>-14496923</v>
      </c>
      <c r="K21" s="29">
        <f t="shared" si="7"/>
        <v>44269602</v>
      </c>
      <c r="L21" s="29">
        <f t="shared" si="7"/>
        <v>-20033167</v>
      </c>
      <c r="M21" s="29">
        <f t="shared" si="7"/>
        <v>-16775355</v>
      </c>
      <c r="N21" s="29">
        <f>SUM(B21:M21)</f>
        <v>-15298721</v>
      </c>
    </row>
    <row r="22" spans="1:14" x14ac:dyDescent="0.35">
      <c r="A22" s="22" t="s">
        <v>116</v>
      </c>
      <c r="B22" s="27">
        <f>B5+B21</f>
        <v>40963895.840000004</v>
      </c>
      <c r="C22" s="27">
        <f t="shared" ref="C22:M22" si="8">C5+C21</f>
        <v>27179508.840000004</v>
      </c>
      <c r="D22" s="27">
        <f t="shared" si="8"/>
        <v>12214853.840000004</v>
      </c>
      <c r="E22" s="27">
        <f t="shared" si="8"/>
        <v>60400062.840000004</v>
      </c>
      <c r="F22" s="27">
        <f t="shared" si="8"/>
        <v>44388889.840000004</v>
      </c>
      <c r="G22" s="27">
        <f t="shared" si="8"/>
        <v>27767692.840000004</v>
      </c>
      <c r="H22" s="27">
        <f t="shared" si="8"/>
        <v>35549672.840000004</v>
      </c>
      <c r="I22" s="27">
        <f t="shared" si="8"/>
        <v>18049074.840000004</v>
      </c>
      <c r="J22" s="27">
        <f t="shared" si="8"/>
        <v>3552151.8400000036</v>
      </c>
      <c r="K22" s="27">
        <f t="shared" si="8"/>
        <v>47821753.840000004</v>
      </c>
      <c r="L22" s="27">
        <f t="shared" si="8"/>
        <v>27788586.840000004</v>
      </c>
      <c r="M22" s="27">
        <f t="shared" si="8"/>
        <v>11013231.840000004</v>
      </c>
      <c r="N22" s="27">
        <f>M22</f>
        <v>11013231.840000004</v>
      </c>
    </row>
    <row r="24" spans="1:14" x14ac:dyDescent="0.35">
      <c r="A24" s="22" t="s">
        <v>117</v>
      </c>
      <c r="B24" s="30"/>
      <c r="C24" s="30"/>
      <c r="D24" s="30"/>
      <c r="E24" s="30"/>
      <c r="F24" s="30"/>
      <c r="G24" s="30"/>
      <c r="H24" s="30"/>
      <c r="I24" s="30"/>
      <c r="J24" s="30"/>
      <c r="K24" s="30"/>
      <c r="L24" s="30"/>
      <c r="M24" s="30"/>
      <c r="N24" s="30"/>
    </row>
    <row r="25" spans="1:14" x14ac:dyDescent="0.35">
      <c r="A25" t="s">
        <v>118</v>
      </c>
      <c r="B25" s="19">
        <v>0</v>
      </c>
      <c r="C25" s="19">
        <f>B28</f>
        <v>0</v>
      </c>
      <c r="D25" s="19">
        <f t="shared" ref="D25:M25" si="9">C28</f>
        <v>0</v>
      </c>
      <c r="E25" s="19">
        <f t="shared" si="9"/>
        <v>0</v>
      </c>
      <c r="F25" s="19">
        <f t="shared" si="9"/>
        <v>0</v>
      </c>
      <c r="G25" s="19">
        <f t="shared" si="9"/>
        <v>0</v>
      </c>
      <c r="H25" s="19">
        <f t="shared" si="9"/>
        <v>0</v>
      </c>
      <c r="I25" s="19">
        <f t="shared" si="9"/>
        <v>0</v>
      </c>
      <c r="J25" s="19">
        <f t="shared" si="9"/>
        <v>0</v>
      </c>
      <c r="K25" s="19">
        <f t="shared" si="9"/>
        <v>0</v>
      </c>
      <c r="L25" s="19">
        <f t="shared" si="9"/>
        <v>0</v>
      </c>
      <c r="M25" s="19">
        <f t="shared" si="9"/>
        <v>0</v>
      </c>
    </row>
    <row r="26" spans="1:14" x14ac:dyDescent="0.35">
      <c r="A26" t="s">
        <v>119</v>
      </c>
      <c r="B26" s="19">
        <f>IF(OR(Assumptions!$B$13=0,B30=0),0,MIN(B29,CEILING(MAX(0,Assumptions!$B$16-B31),Assumptions!$B$18)))</f>
        <v>0</v>
      </c>
      <c r="C26" s="19">
        <f>IF(OR(Assumptions!$B$13=0,C30=0),0,MIN(C29,CEILING(MAX(0,Assumptions!$B$16-C31),Assumptions!$B$18)))</f>
        <v>0</v>
      </c>
      <c r="D26" s="19">
        <f>IF(OR(Assumptions!$B$13=0,D30=0),0,MIN(D29,CEILING(MAX(0,Assumptions!$B$16-D31),Assumptions!$B$18)))</f>
        <v>0</v>
      </c>
      <c r="E26" s="19">
        <f>IF(OR(Assumptions!$B$13=0,E30=0),0,MIN(E29,CEILING(MAX(0,Assumptions!$B$16-E31),Assumptions!$B$18)))</f>
        <v>0</v>
      </c>
      <c r="F26" s="19">
        <f>IF(OR(Assumptions!$B$13=0,F30=0),0,MIN(F29,CEILING(MAX(0,Assumptions!$B$16-F31),Assumptions!$B$18)))</f>
        <v>0</v>
      </c>
      <c r="G26" s="19">
        <f>IF(OR(Assumptions!$B$13=0,G30=0),0,MIN(G29,CEILING(MAX(0,Assumptions!$B$16-G31),Assumptions!$B$18)))</f>
        <v>0</v>
      </c>
      <c r="H26" s="19">
        <f>IF(OR(Assumptions!$B$13=0,H30=0),0,MIN(H29,CEILING(MAX(0,Assumptions!$B$16-H31),Assumptions!$B$18)))</f>
        <v>0</v>
      </c>
      <c r="I26" s="19">
        <f>IF(OR(Assumptions!$B$13=0,I30=0),0,MIN(I29,CEILING(MAX(0,Assumptions!$B$16-I31),Assumptions!$B$18)))</f>
        <v>0</v>
      </c>
      <c r="J26" s="19">
        <f>IF(OR(Assumptions!$B$13=0,J30=0),0,MIN(J29,CEILING(MAX(0,Assumptions!$B$16-J31),Assumptions!$B$18)))</f>
        <v>0</v>
      </c>
      <c r="K26" s="19">
        <f>IF(OR(Assumptions!$B$13=0,K30=0),0,MIN(K29,CEILING(MAX(0,Assumptions!$B$16-K31),Assumptions!$B$18)))</f>
        <v>0</v>
      </c>
      <c r="L26" s="19">
        <f>IF(OR(Assumptions!$B$13=0,L30=0),0,MIN(L29,CEILING(MAX(0,Assumptions!$B$16-L31),Assumptions!$B$18)))</f>
        <v>0</v>
      </c>
      <c r="M26" s="19">
        <f>IF(OR(Assumptions!$B$13=0,M30=0),0,MIN(M29,CEILING(MAX(0,Assumptions!$B$16-M31),Assumptions!$B$18)))</f>
        <v>0</v>
      </c>
    </row>
    <row r="27" spans="1:14" x14ac:dyDescent="0.35">
      <c r="A27" t="s">
        <v>120</v>
      </c>
      <c r="B27" s="19">
        <f>-MIN(B25+B26,FLOOR(MAX(0,B31+B26-Assumptions!$B$17),Assumptions!$B$18))</f>
        <v>0</v>
      </c>
      <c r="C27" s="19">
        <f>-MIN(C25+C26,FLOOR(MAX(0,C31+C26-Assumptions!$B$17),Assumptions!$B$18))</f>
        <v>0</v>
      </c>
      <c r="D27" s="19">
        <f>-MIN(D25+D26,FLOOR(MAX(0,D31+D26-Assumptions!$B$17),Assumptions!$B$18))</f>
        <v>0</v>
      </c>
      <c r="E27" s="19">
        <f>-MIN(E25+E26,FLOOR(MAX(0,E31+E26-Assumptions!$B$17),Assumptions!$B$18))</f>
        <v>0</v>
      </c>
      <c r="F27" s="19">
        <f>-MIN(F25+F26,FLOOR(MAX(0,F31+F26-Assumptions!$B$17),Assumptions!$B$18))</f>
        <v>0</v>
      </c>
      <c r="G27" s="19">
        <f>-MIN(G25+G26,FLOOR(MAX(0,G31+G26-Assumptions!$B$17),Assumptions!$B$18))</f>
        <v>0</v>
      </c>
      <c r="H27" s="19">
        <f>-MIN(H25+H26,FLOOR(MAX(0,H31+H26-Assumptions!$B$17),Assumptions!$B$18))</f>
        <v>0</v>
      </c>
      <c r="I27" s="19">
        <f>-MIN(I25+I26,FLOOR(MAX(0,I31+I26-Assumptions!$B$17),Assumptions!$B$18))</f>
        <v>0</v>
      </c>
      <c r="J27" s="19">
        <f>-MIN(J25+J26,FLOOR(MAX(0,J31+J26-Assumptions!$B$17),Assumptions!$B$18))</f>
        <v>0</v>
      </c>
      <c r="K27" s="19">
        <f>-MIN(K25+K26,FLOOR(MAX(0,K31+K26-Assumptions!$B$17),Assumptions!$B$18))</f>
        <v>0</v>
      </c>
      <c r="L27" s="19">
        <f>-MIN(L25+L26,FLOOR(MAX(0,L31+L26-Assumptions!$B$17),Assumptions!$B$18))</f>
        <v>0</v>
      </c>
      <c r="M27" s="19">
        <f>-(M25+M26)</f>
        <v>0</v>
      </c>
    </row>
    <row r="28" spans="1:14" x14ac:dyDescent="0.35">
      <c r="A28" t="s">
        <v>121</v>
      </c>
      <c r="B28" s="19">
        <f>B25+B26+B27</f>
        <v>0</v>
      </c>
      <c r="C28" s="19">
        <f t="shared" ref="C28:M28" si="10">C25+C26+C27</f>
        <v>0</v>
      </c>
      <c r="D28" s="19">
        <f t="shared" si="10"/>
        <v>0</v>
      </c>
      <c r="E28" s="19">
        <f t="shared" si="10"/>
        <v>0</v>
      </c>
      <c r="F28" s="19">
        <f t="shared" si="10"/>
        <v>0</v>
      </c>
      <c r="G28" s="19">
        <f t="shared" si="10"/>
        <v>0</v>
      </c>
      <c r="H28" s="19">
        <f t="shared" si="10"/>
        <v>0</v>
      </c>
      <c r="I28" s="19">
        <f t="shared" si="10"/>
        <v>0</v>
      </c>
      <c r="J28" s="19">
        <f t="shared" si="10"/>
        <v>0</v>
      </c>
      <c r="K28" s="19">
        <f t="shared" si="10"/>
        <v>0</v>
      </c>
      <c r="L28" s="19">
        <f t="shared" si="10"/>
        <v>0</v>
      </c>
      <c r="M28" s="19">
        <f t="shared" si="10"/>
        <v>0</v>
      </c>
    </row>
    <row r="29" spans="1:14" x14ac:dyDescent="0.35">
      <c r="A29" t="s">
        <v>122</v>
      </c>
      <c r="B29" s="19">
        <f>Assumptions!$B$14-B25</f>
        <v>8000000</v>
      </c>
      <c r="C29" s="19">
        <f>Assumptions!$B$14-C25</f>
        <v>8000000</v>
      </c>
      <c r="D29" s="19">
        <f>Assumptions!$B$14-D25</f>
        <v>8000000</v>
      </c>
      <c r="E29" s="19">
        <f>Assumptions!$B$14-E25</f>
        <v>8000000</v>
      </c>
      <c r="F29" s="19">
        <f>Assumptions!$B$14-F25</f>
        <v>8000000</v>
      </c>
      <c r="G29" s="19">
        <f>Assumptions!$B$14-G25</f>
        <v>8000000</v>
      </c>
      <c r="H29" s="19">
        <f>Assumptions!$B$14-H25</f>
        <v>8000000</v>
      </c>
      <c r="I29" s="19">
        <f>Assumptions!$B$14-I25</f>
        <v>8000000</v>
      </c>
      <c r="J29" s="19">
        <f>Assumptions!$B$14-J25</f>
        <v>8000000</v>
      </c>
      <c r="K29" s="19">
        <f>Assumptions!$B$14-K25</f>
        <v>8000000</v>
      </c>
      <c r="L29" s="19">
        <f>Assumptions!$B$14-L25</f>
        <v>8000000</v>
      </c>
      <c r="M29" s="19">
        <f>Assumptions!$B$14-M25</f>
        <v>8000000</v>
      </c>
    </row>
    <row r="30" spans="1:14" x14ac:dyDescent="0.35">
      <c r="A30" t="s">
        <v>123</v>
      </c>
      <c r="B30" s="21">
        <f>IF(AND(MATCH(B$4,$B$4:$M$4,0)&gt;=MATCH(Assumptions!$B$19,$B$4:$M$4,0),MATCH(B$4,$B$4:$M$4,0)&lt;=MATCH(Assumptions!$B$20,$B$4:$M$4,0)),1,0)</f>
        <v>0</v>
      </c>
      <c r="C30" s="21">
        <f>IF(AND(MATCH(C$4,$B$4:$M$4,0)&gt;=MATCH(Assumptions!$B$19,$B$4:$M$4,0),MATCH(C$4,$B$4:$M$4,0)&lt;=MATCH(Assumptions!$B$20,$B$4:$M$4,0)),1,0)</f>
        <v>0</v>
      </c>
      <c r="D30" s="21">
        <f>IF(AND(MATCH(D$4,$B$4:$M$4,0)&gt;=MATCH(Assumptions!$B$19,$B$4:$M$4,0),MATCH(D$4,$B$4:$M$4,0)&lt;=MATCH(Assumptions!$B$20,$B$4:$M$4,0)),1,0)</f>
        <v>1</v>
      </c>
      <c r="E30" s="21">
        <f>IF(AND(MATCH(E$4,$B$4:$M$4,0)&gt;=MATCH(Assumptions!$B$19,$B$4:$M$4,0),MATCH(E$4,$B$4:$M$4,0)&lt;=MATCH(Assumptions!$B$20,$B$4:$M$4,0)),1,0)</f>
        <v>1</v>
      </c>
      <c r="F30" s="21">
        <f>IF(AND(MATCH(F$4,$B$4:$M$4,0)&gt;=MATCH(Assumptions!$B$19,$B$4:$M$4,0),MATCH(F$4,$B$4:$M$4,0)&lt;=MATCH(Assumptions!$B$20,$B$4:$M$4,0)),1,0)</f>
        <v>1</v>
      </c>
      <c r="G30" s="21">
        <f>IF(AND(MATCH(G$4,$B$4:$M$4,0)&gt;=MATCH(Assumptions!$B$19,$B$4:$M$4,0),MATCH(G$4,$B$4:$M$4,0)&lt;=MATCH(Assumptions!$B$20,$B$4:$M$4,0)),1,0)</f>
        <v>1</v>
      </c>
      <c r="H30" s="21">
        <f>IF(AND(MATCH(H$4,$B$4:$M$4,0)&gt;=MATCH(Assumptions!$B$19,$B$4:$M$4,0),MATCH(H$4,$B$4:$M$4,0)&lt;=MATCH(Assumptions!$B$20,$B$4:$M$4,0)),1,0)</f>
        <v>1</v>
      </c>
      <c r="I30" s="21">
        <f>IF(AND(MATCH(I$4,$B$4:$M$4,0)&gt;=MATCH(Assumptions!$B$19,$B$4:$M$4,0),MATCH(I$4,$B$4:$M$4,0)&lt;=MATCH(Assumptions!$B$20,$B$4:$M$4,0)),1,0)</f>
        <v>1</v>
      </c>
      <c r="J30" s="21">
        <f>IF(AND(MATCH(J$4,$B$4:$M$4,0)&gt;=MATCH(Assumptions!$B$19,$B$4:$M$4,0),MATCH(J$4,$B$4:$M$4,0)&lt;=MATCH(Assumptions!$B$20,$B$4:$M$4,0)),1,0)</f>
        <v>1</v>
      </c>
      <c r="K30" s="21">
        <f>IF(AND(MATCH(K$4,$B$4:$M$4,0)&gt;=MATCH(Assumptions!$B$19,$B$4:$M$4,0),MATCH(K$4,$B$4:$M$4,0)&lt;=MATCH(Assumptions!$B$20,$B$4:$M$4,0)),1,0)</f>
        <v>1</v>
      </c>
      <c r="L30" s="21">
        <f>IF(AND(MATCH(L$4,$B$4:$M$4,0)&gt;=MATCH(Assumptions!$B$19,$B$4:$M$4,0),MATCH(L$4,$B$4:$M$4,0)&lt;=MATCH(Assumptions!$B$20,$B$4:$M$4,0)),1,0)</f>
        <v>1</v>
      </c>
      <c r="M30" s="21">
        <f>IF(AND(MATCH(M$4,$B$4:$M$4,0)&gt;=MATCH(Assumptions!$B$19,$B$4:$M$4,0),MATCH(M$4,$B$4:$M$4,0)&lt;=MATCH(Assumptions!$B$20,$B$4:$M$4,0)),1,0)</f>
        <v>1</v>
      </c>
    </row>
    <row r="31" spans="1:14" x14ac:dyDescent="0.35">
      <c r="A31" t="s">
        <v>124</v>
      </c>
      <c r="B31" s="19">
        <f>B5+SUM(B7:B10)+SUM(B14:B16)+B18</f>
        <v>40963895.840000004</v>
      </c>
      <c r="C31" s="19">
        <f t="shared" ref="C31:M31" si="11">C5+SUM(C7:C10)+SUM(C14:C16)+C18</f>
        <v>27179508.840000004</v>
      </c>
      <c r="D31" s="19">
        <f t="shared" si="11"/>
        <v>12214853.840000004</v>
      </c>
      <c r="E31" s="19">
        <f t="shared" si="11"/>
        <v>60400062.840000004</v>
      </c>
      <c r="F31" s="19">
        <f t="shared" si="11"/>
        <v>44388889.840000004</v>
      </c>
      <c r="G31" s="19">
        <f t="shared" si="11"/>
        <v>27767692.840000004</v>
      </c>
      <c r="H31" s="19">
        <f t="shared" si="11"/>
        <v>35549672.840000004</v>
      </c>
      <c r="I31" s="19">
        <f t="shared" si="11"/>
        <v>18049074.840000004</v>
      </c>
      <c r="J31" s="19">
        <f t="shared" si="11"/>
        <v>3552151.8400000036</v>
      </c>
      <c r="K31" s="19">
        <f t="shared" si="11"/>
        <v>47821753.840000004</v>
      </c>
      <c r="L31" s="19">
        <f t="shared" si="11"/>
        <v>27788586.840000004</v>
      </c>
      <c r="M31" s="19">
        <f t="shared" si="11"/>
        <v>11013231.840000004</v>
      </c>
    </row>
    <row r="33" spans="1:14" x14ac:dyDescent="0.35">
      <c r="A33" s="22" t="s">
        <v>125</v>
      </c>
      <c r="B33" s="30"/>
      <c r="C33" s="30"/>
      <c r="D33" s="30"/>
      <c r="E33" s="30"/>
      <c r="F33" s="30"/>
      <c r="G33" s="30"/>
      <c r="H33" s="30"/>
      <c r="I33" s="30"/>
      <c r="J33" s="30"/>
      <c r="K33" s="30"/>
      <c r="L33" s="30"/>
      <c r="M33" s="30"/>
      <c r="N33" s="30"/>
    </row>
    <row r="34" spans="1:14" x14ac:dyDescent="0.35">
      <c r="A34" t="s">
        <v>329</v>
      </c>
      <c r="B34" s="24">
        <f>B5/Assumptions!$B$36</f>
        <v>38.89660274469756</v>
      </c>
      <c r="C34" s="24">
        <f>C5/Assumptions!$B$36</f>
        <v>60.556371207134198</v>
      </c>
      <c r="D34" s="24">
        <f>D5/Assumptions!$B$36</f>
        <v>40.179099003944387</v>
      </c>
      <c r="E34" s="24">
        <f>E5/Assumptions!$B$36</f>
        <v>18.057052636425432</v>
      </c>
      <c r="F34" s="24">
        <f>F5/Assumptions!$B$36</f>
        <v>89.288593071309606</v>
      </c>
      <c r="G34" s="24">
        <f>G5/Assumptions!$B$36</f>
        <v>65.619493349039516</v>
      </c>
      <c r="H34" s="24">
        <f>H5/Assumptions!$B$36</f>
        <v>41.048603427576786</v>
      </c>
      <c r="I34" s="24">
        <f>I5/Assumptions!$B$36</f>
        <v>52.552598834828416</v>
      </c>
      <c r="J34" s="24">
        <f>J5/Assumptions!$B$36</f>
        <v>26.681702351393987</v>
      </c>
      <c r="K34" s="24">
        <f>K5/Assumptions!$B$36</f>
        <v>5.2510978508323678</v>
      </c>
      <c r="L34" s="24">
        <f>L5/Assumptions!$B$36</f>
        <v>70.694249605123375</v>
      </c>
      <c r="M34" s="24">
        <f>M5/Assumptions!$B$36</f>
        <v>41.079490744177335</v>
      </c>
    </row>
    <row r="35" spans="1:14" x14ac:dyDescent="0.35">
      <c r="A35" t="s">
        <v>126</v>
      </c>
      <c r="B35" s="24">
        <f>B22/Assumptions!$B$36</f>
        <v>60.556371207134198</v>
      </c>
      <c r="C35" s="24">
        <f>C22/Assumptions!$B$36</f>
        <v>40.179099003944387</v>
      </c>
      <c r="D35" s="44">
        <f>D22/Assumptions!$B$36</f>
        <v>18.057052636425432</v>
      </c>
      <c r="E35" s="24">
        <f>E22/Assumptions!$B$36</f>
        <v>89.288593071309606</v>
      </c>
      <c r="F35" s="24">
        <f>F22/Assumptions!$B$36</f>
        <v>65.619493349039516</v>
      </c>
      <c r="G35" s="24">
        <f>G22/Assumptions!$B$36</f>
        <v>41.048603427576786</v>
      </c>
      <c r="H35" s="24">
        <f>H22/Assumptions!$B$36</f>
        <v>52.552598834828416</v>
      </c>
      <c r="I35" s="24">
        <f>I22/Assumptions!$B$36</f>
        <v>26.681702351393987</v>
      </c>
      <c r="J35" s="44">
        <f>J22/Assumptions!$B$36</f>
        <v>5.2510978508323678</v>
      </c>
      <c r="K35" s="24">
        <f>K22/Assumptions!$B$36</f>
        <v>70.694249605123375</v>
      </c>
      <c r="L35" s="24">
        <f>L22/Assumptions!$B$36</f>
        <v>41.079490744177335</v>
      </c>
      <c r="M35" s="44">
        <f>M22/Assumptions!$B$36</f>
        <v>16.280711143739442</v>
      </c>
    </row>
    <row r="36" spans="1:14" x14ac:dyDescent="0.35">
      <c r="A36" t="s">
        <v>127</v>
      </c>
      <c r="B36" s="25" t="str">
        <f>IF(B22&lt;Assumptions!$B$16,"YES","")</f>
        <v/>
      </c>
      <c r="C36" s="25" t="str">
        <f>IF(C22&lt;Assumptions!$B$16,"YES","")</f>
        <v/>
      </c>
      <c r="D36" s="25" t="str">
        <f>IF(D22&lt;Assumptions!$B$16,"YES","")</f>
        <v/>
      </c>
      <c r="E36" s="25" t="str">
        <f>IF(E22&lt;Assumptions!$B$16,"YES","")</f>
        <v/>
      </c>
      <c r="F36" s="25" t="str">
        <f>IF(F22&lt;Assumptions!$B$16,"YES","")</f>
        <v/>
      </c>
      <c r="G36" s="25" t="str">
        <f>IF(G22&lt;Assumptions!$B$16,"YES","")</f>
        <v/>
      </c>
      <c r="H36" s="25" t="str">
        <f>IF(H22&lt;Assumptions!$B$16,"YES","")</f>
        <v/>
      </c>
      <c r="I36" s="25" t="str">
        <f>IF(I22&lt;Assumptions!$B$16,"YES","")</f>
        <v/>
      </c>
      <c r="J36" s="25" t="str">
        <f>IF(J22&lt;Assumptions!$B$16,"YES","")</f>
        <v>YES</v>
      </c>
      <c r="K36" s="25" t="str">
        <f>IF(K22&lt;Assumptions!$B$16,"YES","")</f>
        <v/>
      </c>
      <c r="L36" s="25" t="str">
        <f>IF(L22&lt;Assumptions!$B$16,"YES","")</f>
        <v/>
      </c>
      <c r="M36" s="25" t="str">
        <f>IF(M22&lt;Assumptions!$B$16,"YES","")</f>
        <v/>
      </c>
    </row>
    <row r="37" spans="1:14" x14ac:dyDescent="0.35">
      <c r="B37" s="19">
        <f t="shared" ref="B37:C37" si="12">B5+B14+B15+B16</f>
        <v>12645444.840000004</v>
      </c>
      <c r="C37" s="19">
        <f t="shared" si="12"/>
        <v>26236531.840000004</v>
      </c>
      <c r="D37" s="19">
        <f>D5+D14+D15+D16</f>
        <v>-5811598.1599999964</v>
      </c>
      <c r="E37" s="19">
        <f t="shared" ref="E37:N37" si="13">E5+E14+E15+E16</f>
        <v>-7411006.1599999964</v>
      </c>
      <c r="F37" s="19">
        <f t="shared" si="13"/>
        <v>38887364.840000004</v>
      </c>
      <c r="G37" s="19">
        <f t="shared" si="13"/>
        <v>26215260.840000004</v>
      </c>
      <c r="H37" s="19">
        <f t="shared" si="13"/>
        <v>8073418.8400000036</v>
      </c>
      <c r="I37" s="19">
        <f t="shared" si="13"/>
        <v>16408056.840000004</v>
      </c>
      <c r="J37" s="19">
        <f t="shared" si="13"/>
        <v>-895407.15999999642</v>
      </c>
      <c r="K37" s="19">
        <f t="shared" si="13"/>
        <v>-15138546.159999996</v>
      </c>
      <c r="L37" s="19">
        <f t="shared" si="13"/>
        <v>21883927.840000004</v>
      </c>
      <c r="M37" s="19">
        <f t="shared" si="13"/>
        <v>3987152.8400000036</v>
      </c>
      <c r="N37" s="19">
        <f t="shared" si="13"/>
        <v>-220595543.16</v>
      </c>
    </row>
    <row r="39" spans="1:14" outlineLevel="1" x14ac:dyDescent="0.35"/>
    <row r="40" spans="1:14" outlineLevel="1" x14ac:dyDescent="0.35">
      <c r="D40" s="57">
        <v>-2474096</v>
      </c>
      <c r="E40" s="57">
        <v>-5933331</v>
      </c>
    </row>
    <row r="41" spans="1:14" outlineLevel="1" x14ac:dyDescent="0.35"/>
    <row r="42" spans="1:14" outlineLevel="1" x14ac:dyDescent="0.35">
      <c r="B42" s="79"/>
    </row>
    <row r="43" spans="1:14" outlineLevel="1" x14ac:dyDescent="0.35">
      <c r="B43" s="19">
        <f>B5+SUM(B14:B16)</f>
        <v>12645444.840000004</v>
      </c>
      <c r="C43" s="19">
        <f t="shared" ref="C43:M43" si="14">C5+SUM(C14:C16)</f>
        <v>26236531.840000004</v>
      </c>
      <c r="D43" s="19">
        <f t="shared" si="14"/>
        <v>-5811598.1599999964</v>
      </c>
      <c r="E43" s="19">
        <f t="shared" si="14"/>
        <v>-7411006.1599999964</v>
      </c>
      <c r="F43" s="19">
        <f t="shared" si="14"/>
        <v>38887364.840000004</v>
      </c>
      <c r="G43" s="19">
        <f t="shared" si="14"/>
        <v>26215260.840000004</v>
      </c>
      <c r="H43" s="19">
        <f t="shared" si="14"/>
        <v>8073418.8400000036</v>
      </c>
      <c r="I43" s="19">
        <f t="shared" si="14"/>
        <v>16408056.840000004</v>
      </c>
      <c r="J43" s="19">
        <f t="shared" si="14"/>
        <v>-895407.15999999642</v>
      </c>
      <c r="K43" s="19">
        <f t="shared" si="14"/>
        <v>-15138546.159999996</v>
      </c>
      <c r="L43" s="19">
        <f t="shared" si="14"/>
        <v>21883927.840000004</v>
      </c>
      <c r="M43" s="19">
        <f t="shared" si="14"/>
        <v>3987152.8400000036</v>
      </c>
    </row>
    <row r="44" spans="1:14" outlineLevel="1" x14ac:dyDescent="0.35"/>
    <row r="45" spans="1:14" outlineLevel="1" x14ac:dyDescent="0.35">
      <c r="C45" s="19">
        <f>C15-'GF Monthly FY26'!C15</f>
        <v>199000</v>
      </c>
      <c r="D45" s="19">
        <f>D15-'GF Monthly FY26'!D15</f>
        <v>199000</v>
      </c>
      <c r="E45" s="19">
        <f>E15-'GF Monthly FY26'!E15</f>
        <v>199000</v>
      </c>
      <c r="F45" s="19">
        <f>F15-'GF Monthly FY26'!F15</f>
        <v>199000</v>
      </c>
      <c r="G45" s="19">
        <f>G15-'GF Monthly FY26'!G15</f>
        <v>199000</v>
      </c>
      <c r="H45" s="19">
        <f>H15-'GF Monthly FY26'!H15</f>
        <v>199000</v>
      </c>
      <c r="I45" s="19">
        <f>I15-'GF Monthly FY26'!I15</f>
        <v>199000</v>
      </c>
      <c r="J45" s="19">
        <f>J15-'GF Monthly FY26'!J15</f>
        <v>199000</v>
      </c>
      <c r="K45" s="19">
        <f>K15-'GF Monthly FY26'!K15</f>
        <v>199000</v>
      </c>
      <c r="L45" s="19">
        <f>L15-'GF Monthly FY26'!L15</f>
        <v>199000</v>
      </c>
      <c r="M45" s="19">
        <f>M15-'GF Monthly FY26'!M15</f>
        <v>199000</v>
      </c>
    </row>
    <row r="46" spans="1:14" outlineLevel="1" x14ac:dyDescent="0.35"/>
    <row r="47" spans="1:14" outlineLevel="1" x14ac:dyDescent="0.35"/>
    <row r="48" spans="1:14" outlineLevel="1" x14ac:dyDescent="0.35"/>
    <row r="49" spans="2:20" outlineLevel="1" x14ac:dyDescent="0.35"/>
    <row r="50" spans="2:20" outlineLevel="1" x14ac:dyDescent="0.35"/>
    <row r="51" spans="2:20" outlineLevel="1" x14ac:dyDescent="0.35">
      <c r="O51" t="s">
        <v>331</v>
      </c>
      <c r="P51" t="s">
        <v>330</v>
      </c>
      <c r="Q51" t="s">
        <v>332</v>
      </c>
      <c r="R51" t="s">
        <v>333</v>
      </c>
      <c r="S51" t="s">
        <v>334</v>
      </c>
      <c r="T51" t="s">
        <v>335</v>
      </c>
    </row>
    <row r="52" spans="2:20" outlineLevel="1" x14ac:dyDescent="0.35">
      <c r="B52" s="78">
        <f>B5+SUM(B14:B18)</f>
        <v>12645444.840000004</v>
      </c>
      <c r="C52" s="78">
        <f t="shared" ref="C52:M52" si="15">C5+SUM(C14:C18)</f>
        <v>26236531.840000004</v>
      </c>
      <c r="D52" s="78">
        <f t="shared" si="15"/>
        <v>-5811598.1599999964</v>
      </c>
      <c r="E52" s="78">
        <f t="shared" si="15"/>
        <v>-7411006.1599999964</v>
      </c>
      <c r="F52" s="78">
        <f t="shared" si="15"/>
        <v>38887364.840000004</v>
      </c>
      <c r="G52" s="78">
        <f t="shared" si="15"/>
        <v>26215260.840000004</v>
      </c>
      <c r="H52" s="78">
        <f t="shared" si="15"/>
        <v>8073418.8400000036</v>
      </c>
      <c r="I52" s="78">
        <f t="shared" si="15"/>
        <v>16408056.840000004</v>
      </c>
      <c r="J52" s="78">
        <f t="shared" si="15"/>
        <v>-895407.15999999642</v>
      </c>
      <c r="K52" s="78">
        <f t="shared" si="15"/>
        <v>-15138546.159999996</v>
      </c>
      <c r="L52" s="78">
        <f t="shared" si="15"/>
        <v>21883927.840000004</v>
      </c>
      <c r="M52" s="78">
        <f t="shared" si="15"/>
        <v>3987152.8400000036</v>
      </c>
      <c r="O52" s="81">
        <f>MIN(B52:M52)</f>
        <v>-15138546.159999996</v>
      </c>
      <c r="P52" s="81">
        <f>AVERAGE(B52:M52)</f>
        <v>10423383.423333338</v>
      </c>
      <c r="Q52" s="81">
        <f>MEDIAN(B52:M52)</f>
        <v>10359431.840000004</v>
      </c>
      <c r="R52" s="81">
        <f>MAX(B52:M52)</f>
        <v>38887364.840000004</v>
      </c>
      <c r="S52" s="81">
        <f>B52</f>
        <v>12645444.840000004</v>
      </c>
      <c r="T52" s="81">
        <f>M52</f>
        <v>3987152.8400000036</v>
      </c>
    </row>
    <row r="53" spans="2:20" outlineLevel="1" x14ac:dyDescent="0.35">
      <c r="B53" s="19">
        <f>SUM($N$12)</f>
        <v>231608775</v>
      </c>
      <c r="O53" s="80">
        <f t="shared" ref="O53:T53" si="16">O52/$N$12</f>
        <v>-6.5362576007752707E-2</v>
      </c>
      <c r="P53" s="80">
        <f t="shared" si="16"/>
        <v>4.5004268181692758E-2</v>
      </c>
      <c r="Q53" s="80">
        <f t="shared" si="16"/>
        <v>4.4728149181739785E-2</v>
      </c>
      <c r="R53" s="80">
        <f t="shared" si="16"/>
        <v>0.16790108595842279</v>
      </c>
      <c r="S53" s="80">
        <f t="shared" si="16"/>
        <v>5.4598297668125934E-2</v>
      </c>
      <c r="T53" s="80">
        <f t="shared" si="16"/>
        <v>1.7215033584111843E-2</v>
      </c>
    </row>
    <row r="54" spans="2:20" outlineLevel="1" x14ac:dyDescent="0.35">
      <c r="B54" s="80">
        <f>B52/$B$53</f>
        <v>5.4598297668125934E-2</v>
      </c>
      <c r="C54" s="80">
        <f t="shared" ref="C54:M54" si="17">C52/$B$53</f>
        <v>0.11327952423218854</v>
      </c>
      <c r="D54" s="80">
        <f t="shared" si="17"/>
        <v>-2.5092305591616709E-2</v>
      </c>
      <c r="E54" s="80">
        <f t="shared" si="17"/>
        <v>-3.1997950682136275E-2</v>
      </c>
      <c r="F54" s="80">
        <f t="shared" si="17"/>
        <v>0.16790108595842279</v>
      </c>
      <c r="G54" s="80">
        <f t="shared" si="17"/>
        <v>0.11318768401585823</v>
      </c>
      <c r="H54" s="80">
        <f t="shared" si="17"/>
        <v>3.4858000695353636E-2</v>
      </c>
      <c r="I54" s="80">
        <f t="shared" si="17"/>
        <v>7.0843847950061489E-2</v>
      </c>
      <c r="J54" s="80">
        <f t="shared" si="17"/>
        <v>-3.8660329687422094E-3</v>
      </c>
      <c r="K54" s="80">
        <f t="shared" si="17"/>
        <v>-6.5362576007752707E-2</v>
      </c>
      <c r="L54" s="80">
        <f t="shared" si="17"/>
        <v>9.4486609326438528E-2</v>
      </c>
      <c r="M54" s="80">
        <f t="shared" si="17"/>
        <v>1.7215033584111843E-2</v>
      </c>
    </row>
    <row r="55" spans="2:20" outlineLevel="1" x14ac:dyDescent="0.35"/>
    <row r="56" spans="2:20" outlineLevel="1" x14ac:dyDescent="0.35"/>
    <row r="57" spans="2:20" outlineLevel="1" x14ac:dyDescent="0.35"/>
    <row r="58" spans="2:20" outlineLevel="1" x14ac:dyDescent="0.35">
      <c r="P58" s="82">
        <v>0.10891512638068218</v>
      </c>
      <c r="Q58" s="78">
        <f>P58*$N$12</f>
        <v>25225698.999999985</v>
      </c>
    </row>
    <row r="59" spans="2:20" outlineLevel="1" x14ac:dyDescent="0.35">
      <c r="B59" s="81">
        <v>12645444.840000004</v>
      </c>
      <c r="C59" s="81">
        <v>26236531.840000004</v>
      </c>
      <c r="D59" s="81">
        <v>-5811598.1599999964</v>
      </c>
      <c r="E59" s="81">
        <v>-7411006.1599999964</v>
      </c>
      <c r="F59" s="81">
        <v>38887364.840000004</v>
      </c>
      <c r="G59" s="81">
        <v>26215260.840000004</v>
      </c>
      <c r="H59" s="81">
        <v>8073418.8400000036</v>
      </c>
      <c r="I59" s="81">
        <v>16408056.840000004</v>
      </c>
      <c r="J59" s="81">
        <v>-895407.15999999642</v>
      </c>
      <c r="K59" s="81">
        <v>-15138546.159999996</v>
      </c>
      <c r="L59" s="81">
        <v>27983927.840000004</v>
      </c>
      <c r="M59" s="81">
        <v>10087152.840000004</v>
      </c>
    </row>
    <row r="60" spans="2:20" outlineLevel="1" x14ac:dyDescent="0.35">
      <c r="B60" s="81">
        <f t="shared" ref="B60:K60" si="18">($M$60-$M$59)+B59</f>
        <v>27783990.999999985</v>
      </c>
      <c r="C60" s="81">
        <f t="shared" si="18"/>
        <v>41375077.999999985</v>
      </c>
      <c r="D60" s="81">
        <f t="shared" si="18"/>
        <v>9326947.9999999851</v>
      </c>
      <c r="E60" s="81">
        <f t="shared" si="18"/>
        <v>7727539.9999999851</v>
      </c>
      <c r="F60" s="81">
        <f t="shared" si="18"/>
        <v>54025910.999999985</v>
      </c>
      <c r="G60" s="81">
        <f t="shared" si="18"/>
        <v>41353806.999999985</v>
      </c>
      <c r="H60" s="81">
        <f t="shared" si="18"/>
        <v>23211964.999999985</v>
      </c>
      <c r="I60" s="81">
        <f t="shared" si="18"/>
        <v>31546602.999999985</v>
      </c>
      <c r="J60" s="81">
        <f t="shared" si="18"/>
        <v>14243138.999999985</v>
      </c>
      <c r="K60" s="81">
        <f t="shared" si="18"/>
        <v>-1.4901161193847656E-8</v>
      </c>
      <c r="L60" s="81">
        <f>($M$60-$M$59)+L59</f>
        <v>43122473.999999985</v>
      </c>
      <c r="M60" s="81">
        <f>Q58</f>
        <v>25225698.999999985</v>
      </c>
      <c r="O60" s="81">
        <f>MIN(B60:M60)</f>
        <v>-1.4901161193847656E-8</v>
      </c>
      <c r="P60" s="81">
        <f>AVERAGE(B60:M60)</f>
        <v>26578596.249999996</v>
      </c>
      <c r="Q60" s="81">
        <f>MEDIAN(B60:M60)</f>
        <v>26504844.999999985</v>
      </c>
      <c r="R60" s="81">
        <f>MAX(B60:M60)</f>
        <v>54025910.999999985</v>
      </c>
      <c r="S60" s="81">
        <f>B60</f>
        <v>27783990.999999985</v>
      </c>
      <c r="T60" s="81">
        <f>M60</f>
        <v>25225698.999999985</v>
      </c>
    </row>
    <row r="61" spans="2:20" outlineLevel="1" x14ac:dyDescent="0.35">
      <c r="B61" s="78"/>
      <c r="C61" s="78"/>
      <c r="D61" s="78"/>
      <c r="E61" s="78"/>
      <c r="F61" s="78"/>
      <c r="G61" s="78"/>
      <c r="H61" s="78"/>
      <c r="I61" s="78"/>
      <c r="J61" s="78"/>
      <c r="K61" s="78"/>
      <c r="L61" s="78"/>
      <c r="M61" s="78"/>
      <c r="O61" s="80">
        <f t="shared" ref="O61" si="19">O60/$N$12</f>
        <v>-6.4337636576367443E-17</v>
      </c>
      <c r="P61" s="80">
        <f>P60/$N$12</f>
        <v>0.11475643032091506</v>
      </c>
      <c r="Q61" s="80">
        <f>Q60/$N$12</f>
        <v>0.11443800002828039</v>
      </c>
      <c r="R61" s="80">
        <f t="shared" ref="R61" si="20">R60/$N$12</f>
        <v>0.23326366196617543</v>
      </c>
      <c r="S61" s="80">
        <f t="shared" ref="S61" si="21">S60/$N$12</f>
        <v>0.11996087367587858</v>
      </c>
      <c r="T61" s="80">
        <f t="shared" ref="T61" si="22">T60/$N$12</f>
        <v>0.10891512638068218</v>
      </c>
    </row>
    <row r="62" spans="2:20" outlineLevel="1" x14ac:dyDescent="0.35">
      <c r="B62" s="80">
        <f>B59/$N$12</f>
        <v>5.4598297668125934E-2</v>
      </c>
      <c r="C62" s="80">
        <f t="shared" ref="C62:M62" si="23">C59/$N$12</f>
        <v>0.11327952423218854</v>
      </c>
      <c r="D62" s="80">
        <f t="shared" si="23"/>
        <v>-2.5092305591616709E-2</v>
      </c>
      <c r="E62" s="80">
        <f t="shared" si="23"/>
        <v>-3.1997950682136275E-2</v>
      </c>
      <c r="F62" s="80">
        <f t="shared" si="23"/>
        <v>0.16790108595842279</v>
      </c>
      <c r="G62" s="80">
        <f t="shared" si="23"/>
        <v>0.11318768401585823</v>
      </c>
      <c r="H62" s="80">
        <f t="shared" si="23"/>
        <v>3.4858000695353636E-2</v>
      </c>
      <c r="I62" s="80">
        <f t="shared" si="23"/>
        <v>7.0843847950061489E-2</v>
      </c>
      <c r="J62" s="80">
        <f t="shared" si="23"/>
        <v>-3.8660329687422094E-3</v>
      </c>
      <c r="K62" s="80">
        <f t="shared" si="23"/>
        <v>-6.5362576007752707E-2</v>
      </c>
      <c r="L62" s="80">
        <f t="shared" si="23"/>
        <v>0.12082412611525623</v>
      </c>
      <c r="M62" s="80">
        <f t="shared" si="23"/>
        <v>4.3552550372929537E-2</v>
      </c>
    </row>
    <row r="63" spans="2:20" outlineLevel="1" x14ac:dyDescent="0.35">
      <c r="B63" s="80">
        <f t="shared" ref="B63:M63" si="24">B60/$N$12</f>
        <v>0.11996087367587858</v>
      </c>
      <c r="C63" s="80">
        <f t="shared" si="24"/>
        <v>0.1786421002399412</v>
      </c>
      <c r="D63" s="80">
        <f t="shared" si="24"/>
        <v>4.0270270416135942E-2</v>
      </c>
      <c r="E63" s="80">
        <f t="shared" si="24"/>
        <v>3.3364625325616376E-2</v>
      </c>
      <c r="F63" s="80">
        <f t="shared" si="24"/>
        <v>0.23326366196617543</v>
      </c>
      <c r="G63" s="80">
        <f t="shared" si="24"/>
        <v>0.17855026002361088</v>
      </c>
      <c r="H63" s="80">
        <f t="shared" si="24"/>
        <v>0.10022057670310629</v>
      </c>
      <c r="I63" s="80">
        <f t="shared" si="24"/>
        <v>0.13620642395781415</v>
      </c>
      <c r="J63" s="80">
        <f t="shared" si="24"/>
        <v>6.1496543039010441E-2</v>
      </c>
      <c r="K63" s="80">
        <f t="shared" si="24"/>
        <v>-6.4337636576367443E-17</v>
      </c>
      <c r="L63" s="80">
        <f t="shared" si="24"/>
        <v>0.18618670212300886</v>
      </c>
      <c r="M63" s="80">
        <f t="shared" si="24"/>
        <v>0.10891512638068218</v>
      </c>
    </row>
  </sheetData>
  <conditionalFormatting sqref="B43:M43">
    <cfRule type="cellIs" dxfId="5" priority="8" operator="lessThan">
      <formula>0</formula>
    </cfRule>
  </conditionalFormatting>
  <conditionalFormatting sqref="B54:M54">
    <cfRule type="cellIs" dxfId="4" priority="7" operator="lessThan">
      <formula>0.05</formula>
    </cfRule>
  </conditionalFormatting>
  <conditionalFormatting sqref="B37:N37">
    <cfRule type="cellIs" dxfId="3" priority="9" operator="lessThan">
      <formula>0</formula>
    </cfRule>
  </conditionalFormatting>
  <conditionalFormatting sqref="O61:T61 B62:M63">
    <cfRule type="cellIs" dxfId="2" priority="4" operator="greaterThan">
      <formula>0.15</formula>
    </cfRule>
    <cfRule type="cellIs" dxfId="1" priority="5" operator="between">
      <formula>0.05</formula>
      <formula>0.1</formula>
    </cfRule>
    <cfRule type="cellIs" dxfId="0" priority="6" operator="lessThan">
      <formula>0.05</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1ADB53-14DE-474A-985E-FA86873543A0}">
  <dimension ref="A1:C29"/>
  <sheetViews>
    <sheetView workbookViewId="0">
      <selection activeCell="A29" sqref="A29"/>
    </sheetView>
  </sheetViews>
  <sheetFormatPr defaultRowHeight="14.5" x14ac:dyDescent="0.35"/>
  <cols>
    <col min="1" max="1" width="61.81640625" customWidth="1"/>
    <col min="2" max="2" width="21.81640625" customWidth="1"/>
    <col min="3" max="3" width="54.54296875" customWidth="1"/>
  </cols>
  <sheetData>
    <row r="1" spans="1:3" ht="18.5" x14ac:dyDescent="0.45">
      <c r="A1" s="1" t="s">
        <v>129</v>
      </c>
    </row>
    <row r="2" spans="1:3" x14ac:dyDescent="0.35">
      <c r="A2" s="3" t="s">
        <v>130</v>
      </c>
    </row>
    <row r="4" spans="1:3" x14ac:dyDescent="0.35">
      <c r="A4" s="4" t="s">
        <v>131</v>
      </c>
      <c r="B4" s="16" t="s">
        <v>132</v>
      </c>
      <c r="C4" s="4" t="s">
        <v>6</v>
      </c>
    </row>
    <row r="5" spans="1:3" x14ac:dyDescent="0.35">
      <c r="A5" s="6" t="s">
        <v>133</v>
      </c>
      <c r="B5" s="23">
        <f>Assumptions!B8</f>
        <v>-1788950</v>
      </c>
      <c r="C5" t="s">
        <v>134</v>
      </c>
    </row>
    <row r="7" spans="1:3" x14ac:dyDescent="0.35">
      <c r="A7" t="s">
        <v>135</v>
      </c>
      <c r="B7" s="31">
        <v>14370</v>
      </c>
      <c r="C7" t="s">
        <v>10</v>
      </c>
    </row>
    <row r="8" spans="1:3" x14ac:dyDescent="0.35">
      <c r="A8" t="s">
        <v>136</v>
      </c>
      <c r="B8" s="32">
        <v>1299.47</v>
      </c>
      <c r="C8" t="s">
        <v>137</v>
      </c>
    </row>
    <row r="9" spans="1:3" x14ac:dyDescent="0.35">
      <c r="A9" t="s">
        <v>138</v>
      </c>
      <c r="B9" s="8">
        <v>18672838</v>
      </c>
      <c r="C9" t="s">
        <v>139</v>
      </c>
    </row>
    <row r="10" spans="1:3" x14ac:dyDescent="0.35">
      <c r="A10" t="s">
        <v>140</v>
      </c>
      <c r="B10" s="8">
        <v>0</v>
      </c>
      <c r="C10" t="s">
        <v>141</v>
      </c>
    </row>
    <row r="11" spans="1:3" x14ac:dyDescent="0.35">
      <c r="A11" s="6" t="s">
        <v>142</v>
      </c>
      <c r="B11" s="9">
        <f>SUM(B9:B10)</f>
        <v>18672838</v>
      </c>
    </row>
    <row r="13" spans="1:3" x14ac:dyDescent="0.35">
      <c r="A13" t="s">
        <v>143</v>
      </c>
      <c r="B13" s="8">
        <v>-14230418</v>
      </c>
      <c r="C13" t="s">
        <v>144</v>
      </c>
    </row>
    <row r="14" spans="1:3" x14ac:dyDescent="0.35">
      <c r="A14" t="s">
        <v>145</v>
      </c>
      <c r="B14" s="33">
        <f>B11/-B13</f>
        <v>1.3121777589386341</v>
      </c>
    </row>
    <row r="15" spans="1:3" x14ac:dyDescent="0.35">
      <c r="A15" s="6" t="s">
        <v>146</v>
      </c>
      <c r="B15" s="9">
        <f>B11+B13</f>
        <v>4442420</v>
      </c>
    </row>
    <row r="17" spans="1:3" x14ac:dyDescent="0.35">
      <c r="A17" t="s">
        <v>147</v>
      </c>
      <c r="B17" s="14">
        <f>SUMIFS('Interfund Matrix'!$H$5:$H$11,'Interfund Matrix'!$D$5:$D$11,"SAVE",'Interfund Matrix'!$C$5:$C$11,"General Fund")</f>
        <v>6100000</v>
      </c>
      <c r="C17" t="s">
        <v>148</v>
      </c>
    </row>
    <row r="18" spans="1:3" x14ac:dyDescent="0.35">
      <c r="A18" t="s">
        <v>149</v>
      </c>
      <c r="B18" s="14">
        <f>-SUMIFS('Interfund Matrix'!$H$5:$H$11,'Interfund Matrix'!$C$5:$C$11,"SAVE")</f>
        <v>-7759200</v>
      </c>
      <c r="C18" t="s">
        <v>150</v>
      </c>
    </row>
    <row r="19" spans="1:3" x14ac:dyDescent="0.35">
      <c r="A19" t="s">
        <v>151</v>
      </c>
      <c r="B19" s="8">
        <v>5150000</v>
      </c>
      <c r="C19" t="s">
        <v>152</v>
      </c>
    </row>
    <row r="20" spans="1:3" x14ac:dyDescent="0.35">
      <c r="A20" t="s">
        <v>153</v>
      </c>
      <c r="B20" s="8">
        <v>0</v>
      </c>
      <c r="C20" t="s">
        <v>10</v>
      </c>
    </row>
    <row r="21" spans="1:3" x14ac:dyDescent="0.35">
      <c r="A21" s="6" t="s">
        <v>154</v>
      </c>
      <c r="B21" s="9">
        <f>SUM(B17:B20)</f>
        <v>3490800</v>
      </c>
    </row>
    <row r="23" spans="1:3" x14ac:dyDescent="0.35">
      <c r="A23" s="6" t="s">
        <v>155</v>
      </c>
      <c r="B23" s="9">
        <f>B15+B21</f>
        <v>7933220</v>
      </c>
    </row>
    <row r="24" spans="1:3" x14ac:dyDescent="0.35">
      <c r="A24" s="6" t="s">
        <v>156</v>
      </c>
      <c r="B24" s="27">
        <f>B5+B23</f>
        <v>6144270</v>
      </c>
    </row>
    <row r="26" spans="1:3" x14ac:dyDescent="0.35">
      <c r="A26" s="6" t="s">
        <v>157</v>
      </c>
      <c r="B26" s="8">
        <v>44270</v>
      </c>
    </row>
    <row r="27" spans="1:3" x14ac:dyDescent="0.35">
      <c r="A27" s="6" t="s">
        <v>158</v>
      </c>
      <c r="B27" s="19">
        <f>B24-B26</f>
        <v>6100000</v>
      </c>
      <c r="C27" s="12" t="s">
        <v>159</v>
      </c>
    </row>
    <row r="29" spans="1:3" x14ac:dyDescent="0.35">
      <c r="A29" s="6" t="s">
        <v>160</v>
      </c>
    </row>
  </sheetData>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9D5273-A9BF-4C0B-B33F-FCB5E3F97B8A}">
  <dimension ref="A1:C35"/>
  <sheetViews>
    <sheetView workbookViewId="0">
      <selection activeCell="A26" sqref="A26"/>
    </sheetView>
  </sheetViews>
  <sheetFormatPr defaultRowHeight="14.5" x14ac:dyDescent="0.35"/>
  <cols>
    <col min="1" max="1" width="61.81640625" customWidth="1"/>
    <col min="2" max="2" width="21.81640625" customWidth="1"/>
    <col min="3" max="3" width="54.54296875" customWidth="1"/>
  </cols>
  <sheetData>
    <row r="1" spans="1:3" ht="18.5" x14ac:dyDescent="0.45">
      <c r="A1" s="1" t="s">
        <v>161</v>
      </c>
    </row>
    <row r="2" spans="1:3" x14ac:dyDescent="0.35">
      <c r="A2" s="3" t="s">
        <v>162</v>
      </c>
    </row>
    <row r="4" spans="1:3" x14ac:dyDescent="0.35">
      <c r="A4" s="4" t="s">
        <v>131</v>
      </c>
      <c r="B4" s="16" t="s">
        <v>132</v>
      </c>
      <c r="C4" s="4" t="s">
        <v>6</v>
      </c>
    </row>
    <row r="5" spans="1:3" x14ac:dyDescent="0.35">
      <c r="A5" s="6" t="s">
        <v>133</v>
      </c>
      <c r="B5" s="23">
        <f>Assumptions!B9</f>
        <v>4580307</v>
      </c>
      <c r="C5" t="s">
        <v>134</v>
      </c>
    </row>
    <row r="7" spans="1:3" x14ac:dyDescent="0.35">
      <c r="A7" t="s">
        <v>163</v>
      </c>
      <c r="B7" s="8">
        <v>8396929367</v>
      </c>
      <c r="C7" t="s">
        <v>164</v>
      </c>
    </row>
    <row r="8" spans="1:3" x14ac:dyDescent="0.35">
      <c r="A8" t="s">
        <v>165</v>
      </c>
      <c r="B8" s="34">
        <v>0.33</v>
      </c>
    </row>
    <row r="9" spans="1:3" x14ac:dyDescent="0.35">
      <c r="A9" t="s">
        <v>166</v>
      </c>
      <c r="B9" s="34">
        <v>1.34</v>
      </c>
    </row>
    <row r="11" spans="1:3" x14ac:dyDescent="0.35">
      <c r="A11" t="s">
        <v>167</v>
      </c>
      <c r="B11" s="8">
        <v>2770987</v>
      </c>
      <c r="C11" t="s">
        <v>168</v>
      </c>
    </row>
    <row r="12" spans="1:3" x14ac:dyDescent="0.35">
      <c r="A12" t="s">
        <v>169</v>
      </c>
      <c r="B12" s="8">
        <v>11251885</v>
      </c>
      <c r="C12" t="s">
        <v>170</v>
      </c>
    </row>
    <row r="13" spans="1:3" x14ac:dyDescent="0.35">
      <c r="A13" t="s">
        <v>140</v>
      </c>
      <c r="B13" s="8">
        <v>91606</v>
      </c>
      <c r="C13" t="s">
        <v>171</v>
      </c>
    </row>
    <row r="14" spans="1:3" x14ac:dyDescent="0.35">
      <c r="A14" s="6" t="s">
        <v>172</v>
      </c>
      <c r="B14" s="9">
        <f>SUM(B11:B13)</f>
        <v>14114478</v>
      </c>
    </row>
    <row r="16" spans="1:3" x14ac:dyDescent="0.35">
      <c r="A16" t="s">
        <v>173</v>
      </c>
      <c r="B16" s="8">
        <v>0</v>
      </c>
      <c r="C16" t="s">
        <v>174</v>
      </c>
    </row>
    <row r="17" spans="1:3" x14ac:dyDescent="0.35">
      <c r="A17" s="6" t="s">
        <v>146</v>
      </c>
      <c r="B17" s="9">
        <f>B14+B16</f>
        <v>14114478</v>
      </c>
    </row>
    <row r="19" spans="1:3" x14ac:dyDescent="0.35">
      <c r="A19" s="22" t="s">
        <v>175</v>
      </c>
      <c r="B19" s="30"/>
      <c r="C19" s="30"/>
    </row>
    <row r="20" spans="1:3" x14ac:dyDescent="0.35">
      <c r="A20" t="s">
        <v>176</v>
      </c>
      <c r="B20" s="8">
        <v>-363331</v>
      </c>
    </row>
    <row r="21" spans="1:3" x14ac:dyDescent="0.35">
      <c r="A21" t="s">
        <v>177</v>
      </c>
      <c r="B21" s="8">
        <v>-3500000</v>
      </c>
    </row>
    <row r="22" spans="1:3" x14ac:dyDescent="0.35">
      <c r="A22" t="s">
        <v>178</v>
      </c>
      <c r="B22" s="8">
        <v>-9250000</v>
      </c>
    </row>
    <row r="23" spans="1:3" x14ac:dyDescent="0.35">
      <c r="A23" t="s">
        <v>179</v>
      </c>
      <c r="B23" s="8">
        <v>-3400000</v>
      </c>
    </row>
    <row r="24" spans="1:3" x14ac:dyDescent="0.35">
      <c r="A24" s="6" t="s">
        <v>180</v>
      </c>
      <c r="B24" s="9">
        <f>SUM(B20:B23)</f>
        <v>-16513331</v>
      </c>
    </row>
    <row r="26" spans="1:3" x14ac:dyDescent="0.35">
      <c r="A26" t="s">
        <v>181</v>
      </c>
      <c r="B26" s="14">
        <f>SUMIFS('Interfund Matrix'!$H$5:$H$11,'Interfund Matrix'!$D$5:$D$11,"PPEL")</f>
        <v>0</v>
      </c>
      <c r="C26" t="s">
        <v>182</v>
      </c>
    </row>
    <row r="27" spans="1:3" x14ac:dyDescent="0.35">
      <c r="A27" t="s">
        <v>183</v>
      </c>
      <c r="B27" s="14">
        <f>-SUMIFS('Interfund Matrix'!$H$5:$H$11,'Interfund Matrix'!$C$5:$C$11,"PPEL")</f>
        <v>0</v>
      </c>
      <c r="C27" t="s">
        <v>184</v>
      </c>
    </row>
    <row r="29" spans="1:3" x14ac:dyDescent="0.35">
      <c r="A29" s="6" t="s">
        <v>155</v>
      </c>
      <c r="B29" s="9">
        <f>B17+B24+B26+B27</f>
        <v>-2398853</v>
      </c>
    </row>
    <row r="30" spans="1:3" x14ac:dyDescent="0.35">
      <c r="A30" s="6" t="s">
        <v>156</v>
      </c>
      <c r="B30" s="27">
        <f>B5+B29</f>
        <v>2181454</v>
      </c>
    </row>
    <row r="32" spans="1:3" x14ac:dyDescent="0.35">
      <c r="A32" s="6" t="s">
        <v>185</v>
      </c>
      <c r="B32" s="8">
        <v>2181455</v>
      </c>
    </row>
    <row r="33" spans="1:2" x14ac:dyDescent="0.35">
      <c r="A33" s="6" t="s">
        <v>158</v>
      </c>
      <c r="B33" s="19">
        <f>B30-B32</f>
        <v>-1</v>
      </c>
    </row>
    <row r="35" spans="1:2" x14ac:dyDescent="0.35">
      <c r="A35" s="6" t="s">
        <v>186</v>
      </c>
    </row>
  </sheetData>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2CAF8C-777F-46D5-B4DB-968C9BB93779}">
  <dimension ref="A1:E103"/>
  <sheetViews>
    <sheetView topLeftCell="A30" workbookViewId="0">
      <selection activeCell="D74" sqref="A62:D74"/>
    </sheetView>
  </sheetViews>
  <sheetFormatPr defaultRowHeight="14.5" x14ac:dyDescent="0.35"/>
  <cols>
    <col min="1" max="1" width="54.54296875" customWidth="1"/>
    <col min="2" max="4" width="19.08984375" customWidth="1"/>
    <col min="5" max="5" width="61.81640625" customWidth="1"/>
  </cols>
  <sheetData>
    <row r="1" spans="1:5" ht="18.5" x14ac:dyDescent="0.45">
      <c r="A1" s="1" t="s">
        <v>187</v>
      </c>
    </row>
    <row r="3" spans="1:5" x14ac:dyDescent="0.35">
      <c r="A3" s="4" t="s">
        <v>188</v>
      </c>
      <c r="B3" s="5"/>
      <c r="C3" s="5"/>
      <c r="D3" s="5"/>
      <c r="E3" s="5"/>
    </row>
    <row r="4" spans="1:5" x14ac:dyDescent="0.35">
      <c r="A4" s="6" t="s">
        <v>4</v>
      </c>
      <c r="B4" s="7" t="s">
        <v>189</v>
      </c>
      <c r="C4" s="7" t="s">
        <v>190</v>
      </c>
      <c r="D4" s="7" t="s">
        <v>191</v>
      </c>
    </row>
    <row r="5" spans="1:5" x14ac:dyDescent="0.35">
      <c r="A5" t="s">
        <v>7</v>
      </c>
      <c r="B5" s="14">
        <f>'GF Monthly FY27'!B5</f>
        <v>26311952.840000004</v>
      </c>
      <c r="C5" s="19">
        <f>D5-B5</f>
        <v>-15298721</v>
      </c>
      <c r="D5" s="14">
        <f>'GF Monthly FY27'!M22</f>
        <v>11013231.840000004</v>
      </c>
    </row>
    <row r="6" spans="1:5" x14ac:dyDescent="0.35">
      <c r="A6" t="s">
        <v>83</v>
      </c>
      <c r="B6" s="14">
        <f>'SAVE FY27'!B5</f>
        <v>-1788950</v>
      </c>
      <c r="C6" s="14">
        <f>'SAVE FY27'!B23</f>
        <v>7933220</v>
      </c>
      <c r="D6" s="14">
        <f>'SAVE FY27'!B24</f>
        <v>6144270</v>
      </c>
    </row>
    <row r="7" spans="1:5" x14ac:dyDescent="0.35">
      <c r="A7" t="s">
        <v>98</v>
      </c>
      <c r="B7" s="14">
        <f>'PPEL FY27'!B5</f>
        <v>4580307</v>
      </c>
      <c r="C7" s="14">
        <f>'PPEL FY27'!B29</f>
        <v>-2398853</v>
      </c>
      <c r="D7" s="14">
        <f>'PPEL FY27'!B30</f>
        <v>2181454</v>
      </c>
    </row>
    <row r="8" spans="1:5" x14ac:dyDescent="0.35">
      <c r="A8" s="28" t="s">
        <v>13</v>
      </c>
      <c r="B8" s="29">
        <f>SUM(B5:B7)</f>
        <v>29103309.840000004</v>
      </c>
      <c r="C8" s="29">
        <f>SUM(C5:C7)</f>
        <v>-9764354</v>
      </c>
      <c r="D8" s="41">
        <f>SUM(D5:D7)</f>
        <v>19338955.840000004</v>
      </c>
      <c r="E8" s="42"/>
    </row>
    <row r="10" spans="1:5" x14ac:dyDescent="0.35">
      <c r="A10" s="4" t="s">
        <v>192</v>
      </c>
      <c r="B10" s="5"/>
      <c r="C10" s="5"/>
      <c r="D10" s="5"/>
      <c r="E10" s="5"/>
    </row>
    <row r="11" spans="1:5" x14ac:dyDescent="0.35">
      <c r="A11" s="6" t="s">
        <v>4</v>
      </c>
      <c r="B11" s="7" t="s">
        <v>193</v>
      </c>
      <c r="C11" s="7" t="s">
        <v>194</v>
      </c>
      <c r="D11" s="7" t="s">
        <v>195</v>
      </c>
    </row>
    <row r="12" spans="1:5" x14ac:dyDescent="0.35">
      <c r="A12" t="s">
        <v>7</v>
      </c>
      <c r="B12" s="19">
        <f>SUMIFS('Interfund Matrix'!$H$5:$H$11,'Interfund Matrix'!$D$5:$D$11,$A12)</f>
        <v>7759200</v>
      </c>
      <c r="C12" s="19">
        <f>-SUMIFS('Interfund Matrix'!$H$5:$H$11,'Interfund Matrix'!$C$5:$C$11,$A12)</f>
        <v>-19200000</v>
      </c>
      <c r="D12" s="19">
        <f>B12+C12</f>
        <v>-11440800</v>
      </c>
    </row>
    <row r="13" spans="1:5" x14ac:dyDescent="0.35">
      <c r="A13" t="s">
        <v>83</v>
      </c>
      <c r="B13" s="19">
        <f>SUMIFS('Interfund Matrix'!$H$5:$H$11,'Interfund Matrix'!$D$5:$D$11,$A13)</f>
        <v>6100000</v>
      </c>
      <c r="C13" s="19">
        <f>-SUMIFS('Interfund Matrix'!$H$5:$H$11,'Interfund Matrix'!$C$5:$C$11,$A13)</f>
        <v>-7759200</v>
      </c>
      <c r="D13" s="19">
        <f t="shared" ref="D13:D16" si="0">B13+C13</f>
        <v>-1659200</v>
      </c>
    </row>
    <row r="14" spans="1:5" x14ac:dyDescent="0.35">
      <c r="A14" t="s">
        <v>98</v>
      </c>
      <c r="B14" s="19">
        <f>SUMIFS('Interfund Matrix'!$H$5:$H$11,'Interfund Matrix'!$D$5:$D$11,$A14)</f>
        <v>0</v>
      </c>
      <c r="C14" s="19">
        <f>-SUMIFS('Interfund Matrix'!$H$5:$H$11,'Interfund Matrix'!$C$5:$C$11,$A14)</f>
        <v>0</v>
      </c>
      <c r="D14" s="19">
        <f t="shared" si="0"/>
        <v>0</v>
      </c>
    </row>
    <row r="15" spans="1:5" x14ac:dyDescent="0.35">
      <c r="A15" t="s">
        <v>79</v>
      </c>
      <c r="B15" s="19">
        <f>SUMIFS('Interfund Matrix'!$H$5:$H$11,'Interfund Matrix'!$D$5:$D$11,$A15)</f>
        <v>10600000</v>
      </c>
      <c r="C15" s="19">
        <f>-SUMIFS('Interfund Matrix'!$H$5:$H$11,'Interfund Matrix'!$C$5:$C$11,$A15)</f>
        <v>0</v>
      </c>
      <c r="D15" s="19">
        <f t="shared" si="0"/>
        <v>10600000</v>
      </c>
    </row>
    <row r="16" spans="1:5" x14ac:dyDescent="0.35">
      <c r="A16" t="s">
        <v>87</v>
      </c>
      <c r="B16" s="19">
        <f>SUMIFS('Interfund Matrix'!$H$5:$H$11,'Interfund Matrix'!$D$5:$D$11,$A16)</f>
        <v>2500000</v>
      </c>
      <c r="C16" s="19">
        <f>-SUMIFS('Interfund Matrix'!$H$5:$H$11,'Interfund Matrix'!$C$5:$C$11,$A16)</f>
        <v>0</v>
      </c>
      <c r="D16" s="19">
        <f t="shared" si="0"/>
        <v>2500000</v>
      </c>
    </row>
    <row r="17" spans="1:5" x14ac:dyDescent="0.35">
      <c r="A17" s="28" t="s">
        <v>196</v>
      </c>
      <c r="B17" s="29">
        <f>SUM(B12:B16)</f>
        <v>26959200</v>
      </c>
      <c r="C17" s="29">
        <f>SUM(C12:C16)</f>
        <v>-26959200</v>
      </c>
      <c r="D17" s="29">
        <f>SUM(D12:D16)</f>
        <v>0</v>
      </c>
      <c r="E17" s="28" t="str">
        <f>IF(ROUND(D17,0)=0,"OK — interfund flows net to zero","ERROR — interfund flows do not net")</f>
        <v>OK — interfund flows net to zero</v>
      </c>
    </row>
    <row r="19" spans="1:5" x14ac:dyDescent="0.35">
      <c r="A19" s="4" t="s">
        <v>197</v>
      </c>
      <c r="B19" s="5"/>
      <c r="C19" s="5"/>
      <c r="D19" s="5"/>
      <c r="E19" s="5"/>
    </row>
    <row r="20" spans="1:5" x14ac:dyDescent="0.35">
      <c r="A20" t="s">
        <v>198</v>
      </c>
      <c r="B20" s="9">
        <f>MIN('GF Monthly FY27'!B22:M22)</f>
        <v>3552151.8400000036</v>
      </c>
      <c r="C20" s="37">
        <f>INDEX('GF Monthly FY27'!B4:M4,MATCH(B20,'GF Monthly FY27'!B22:M22,0))</f>
        <v>46447</v>
      </c>
    </row>
    <row r="21" spans="1:5" x14ac:dyDescent="0.35">
      <c r="A21" t="s">
        <v>199</v>
      </c>
      <c r="B21" s="19">
        <f>SMALL('GF Monthly FY27'!B22:M22,2)</f>
        <v>11013231.840000004</v>
      </c>
      <c r="C21" s="37">
        <f>INDEX('GF Monthly FY27'!B4:M4,MATCH(B21,'GF Monthly FY27'!B22:M22,0))</f>
        <v>46539</v>
      </c>
    </row>
    <row r="22" spans="1:5" x14ac:dyDescent="0.35">
      <c r="A22" t="s">
        <v>200</v>
      </c>
      <c r="B22" s="9">
        <f>'GF Monthly FY27'!M22</f>
        <v>11013231.840000004</v>
      </c>
    </row>
    <row r="23" spans="1:5" x14ac:dyDescent="0.35">
      <c r="A23" t="s">
        <v>201</v>
      </c>
      <c r="B23" s="24">
        <f>'GF Monthly FY27'!M35</f>
        <v>16.280711143739442</v>
      </c>
      <c r="C23" t="s">
        <v>202</v>
      </c>
    </row>
    <row r="24" spans="1:5" x14ac:dyDescent="0.35">
      <c r="A24" t="s">
        <v>203</v>
      </c>
      <c r="B24" s="24">
        <f>COUNTIF('GF Monthly FY27'!B36:M36,"YES")</f>
        <v>1</v>
      </c>
    </row>
    <row r="25" spans="1:5" x14ac:dyDescent="0.35">
      <c r="A25" t="s">
        <v>204</v>
      </c>
      <c r="B25" s="19">
        <f>MAX('GF Monthly FY27'!B28:M28)</f>
        <v>0</v>
      </c>
    </row>
    <row r="26" spans="1:5" x14ac:dyDescent="0.35">
      <c r="A26" t="s">
        <v>205</v>
      </c>
      <c r="B26" s="19">
        <f>SUM('GF Monthly FY27'!B26:M26)</f>
        <v>0</v>
      </c>
    </row>
    <row r="27" spans="1:5" x14ac:dyDescent="0.35">
      <c r="A27" t="s">
        <v>206</v>
      </c>
      <c r="B27" s="19">
        <f>-SUM('GF Monthly FY27'!B18:M18)</f>
        <v>0</v>
      </c>
    </row>
    <row r="28" spans="1:5" x14ac:dyDescent="0.35">
      <c r="A28" t="s">
        <v>207</v>
      </c>
      <c r="B28" s="19">
        <f>'GF Monthly FY27'!M28</f>
        <v>0</v>
      </c>
      <c r="C28" s="6" t="str">
        <f>IF(ROUND(B28,0)=0,"OK — fully repaid","ERROR — balance outstanding at year end")</f>
        <v>OK — fully repaid</v>
      </c>
    </row>
    <row r="30" spans="1:5" x14ac:dyDescent="0.35">
      <c r="A30" s="4" t="s">
        <v>208</v>
      </c>
      <c r="B30" s="5"/>
      <c r="C30" s="5"/>
      <c r="D30" s="5"/>
      <c r="E30" s="5"/>
    </row>
    <row r="31" spans="1:5" x14ac:dyDescent="0.35">
      <c r="A31" s="6" t="s">
        <v>209</v>
      </c>
      <c r="B31" s="7" t="s">
        <v>210</v>
      </c>
      <c r="C31" s="7" t="s">
        <v>211</v>
      </c>
      <c r="D31" s="7" t="s">
        <v>212</v>
      </c>
      <c r="E31" s="7" t="s">
        <v>213</v>
      </c>
    </row>
    <row r="32" spans="1:5" x14ac:dyDescent="0.35">
      <c r="A32" t="s">
        <v>214</v>
      </c>
      <c r="B32" s="19">
        <f>'GF Monthly FY27'!M22</f>
        <v>11013231.840000004</v>
      </c>
      <c r="C32" s="8">
        <v>17113232</v>
      </c>
      <c r="D32" s="19">
        <f>B32-C32</f>
        <v>-6100000.1599999964</v>
      </c>
      <c r="E32" t="s">
        <v>215</v>
      </c>
    </row>
    <row r="33" spans="1:5" x14ac:dyDescent="0.35">
      <c r="A33" t="s">
        <v>216</v>
      </c>
      <c r="B33" s="19">
        <f>B20</f>
        <v>3552151.8400000036</v>
      </c>
      <c r="C33" s="8">
        <v>3552151</v>
      </c>
      <c r="D33" s="19">
        <f>B33-C33</f>
        <v>0.84000000357627869</v>
      </c>
      <c r="E33" t="s">
        <v>217</v>
      </c>
    </row>
    <row r="34" spans="1:5" x14ac:dyDescent="0.35">
      <c r="A34" t="s">
        <v>218</v>
      </c>
      <c r="B34" s="19">
        <f>'SAVE FY27'!B24</f>
        <v>6144270</v>
      </c>
      <c r="C34" s="19">
        <f>'SAVE FY27'!B26</f>
        <v>44270</v>
      </c>
      <c r="D34" s="19">
        <f>B34-C34</f>
        <v>6100000</v>
      </c>
      <c r="E34" t="s">
        <v>219</v>
      </c>
    </row>
    <row r="35" spans="1:5" x14ac:dyDescent="0.35">
      <c r="A35" t="s">
        <v>220</v>
      </c>
      <c r="B35" s="19">
        <f>'PPEL FY27'!B30</f>
        <v>2181454</v>
      </c>
      <c r="C35" s="19">
        <f>'PPEL FY27'!B32</f>
        <v>2181455</v>
      </c>
      <c r="D35" s="19">
        <f>B35-C35</f>
        <v>-1</v>
      </c>
      <c r="E35" t="s">
        <v>221</v>
      </c>
    </row>
    <row r="37" spans="1:5" x14ac:dyDescent="0.35">
      <c r="A37" s="39" t="s">
        <v>222</v>
      </c>
      <c r="B37" s="40"/>
      <c r="C37" s="40"/>
      <c r="D37" s="40"/>
      <c r="E37" s="40"/>
    </row>
    <row r="38" spans="1:5" x14ac:dyDescent="0.35">
      <c r="A38" s="6" t="s">
        <v>68</v>
      </c>
      <c r="B38" s="6" t="s">
        <v>223</v>
      </c>
      <c r="C38" s="7" t="s">
        <v>224</v>
      </c>
      <c r="D38" s="6" t="s">
        <v>225</v>
      </c>
    </row>
    <row r="39" spans="1:5" x14ac:dyDescent="0.35">
      <c r="A39">
        <v>1</v>
      </c>
      <c r="B39" t="s">
        <v>226</v>
      </c>
      <c r="C39" s="19">
        <f>Assumptions!B29</f>
        <v>2500000</v>
      </c>
      <c r="D39" t="s">
        <v>227</v>
      </c>
    </row>
    <row r="40" spans="1:5" x14ac:dyDescent="0.35">
      <c r="A40">
        <v>2</v>
      </c>
      <c r="B40" t="s">
        <v>228</v>
      </c>
      <c r="C40" s="19">
        <f>Assumptions!B27+Assumptions!B28</f>
        <v>6100000</v>
      </c>
      <c r="D40" t="s">
        <v>229</v>
      </c>
    </row>
    <row r="41" spans="1:5" x14ac:dyDescent="0.35">
      <c r="A41">
        <v>3</v>
      </c>
      <c r="B41" t="s">
        <v>230</v>
      </c>
      <c r="C41" s="19">
        <f>Assumptions!B30+Assumptions!B31</f>
        <v>7000000</v>
      </c>
      <c r="D41" t="s">
        <v>231</v>
      </c>
    </row>
    <row r="42" spans="1:5" x14ac:dyDescent="0.35">
      <c r="A42">
        <v>4</v>
      </c>
      <c r="B42" t="s">
        <v>232</v>
      </c>
      <c r="C42" s="19">
        <v>7049000</v>
      </c>
      <c r="D42" t="s">
        <v>233</v>
      </c>
    </row>
    <row r="43" spans="1:5" x14ac:dyDescent="0.35">
      <c r="A43">
        <v>5</v>
      </c>
      <c r="B43" t="s">
        <v>234</v>
      </c>
      <c r="C43" s="19">
        <f>Assumptions!B26</f>
        <v>7759200</v>
      </c>
      <c r="D43" t="s">
        <v>235</v>
      </c>
    </row>
    <row r="44" spans="1:5" x14ac:dyDescent="0.35">
      <c r="A44">
        <v>6</v>
      </c>
      <c r="B44" t="s">
        <v>236</v>
      </c>
      <c r="C44" s="19">
        <f>B27</f>
        <v>0</v>
      </c>
      <c r="D44" t="s">
        <v>237</v>
      </c>
    </row>
    <row r="46" spans="1:5" x14ac:dyDescent="0.35">
      <c r="A46" s="3" t="s">
        <v>238</v>
      </c>
    </row>
    <row r="48" spans="1:5" x14ac:dyDescent="0.35">
      <c r="A48" s="4" t="s">
        <v>239</v>
      </c>
      <c r="B48" s="5"/>
      <c r="C48" s="5"/>
      <c r="D48" s="5"/>
      <c r="E48" s="5"/>
    </row>
    <row r="49" spans="1:5" x14ac:dyDescent="0.35">
      <c r="A49" s="6" t="s">
        <v>240</v>
      </c>
      <c r="B49" s="7" t="s">
        <v>241</v>
      </c>
      <c r="C49" s="7" t="s">
        <v>242</v>
      </c>
      <c r="D49" s="7" t="s">
        <v>243</v>
      </c>
      <c r="E49" s="7" t="s">
        <v>244</v>
      </c>
    </row>
    <row r="50" spans="1:5" x14ac:dyDescent="0.35">
      <c r="A50" s="45" t="s">
        <v>245</v>
      </c>
    </row>
    <row r="51" spans="1:5" x14ac:dyDescent="0.35">
      <c r="A51" t="s">
        <v>246</v>
      </c>
      <c r="B51" s="14">
        <f>'GF Monthly FY27'!N7+'GF Monthly FY27'!N8+'GF Monthly FY27'!N9</f>
        <v>223849575</v>
      </c>
    </row>
    <row r="52" spans="1:5" x14ac:dyDescent="0.35">
      <c r="A52" t="s">
        <v>247</v>
      </c>
      <c r="B52" s="14">
        <f>'GF Monthly FY27'!N14+'GF Monthly FY27'!N15</f>
        <v>-227707496</v>
      </c>
    </row>
    <row r="53" spans="1:5" x14ac:dyDescent="0.35">
      <c r="A53" s="6" t="s">
        <v>248</v>
      </c>
      <c r="B53" s="9">
        <f>B51+B52</f>
        <v>-3857921</v>
      </c>
      <c r="E53" t="s">
        <v>249</v>
      </c>
    </row>
    <row r="54" spans="1:5" x14ac:dyDescent="0.35">
      <c r="A54" t="s">
        <v>250</v>
      </c>
      <c r="B54" s="46">
        <f>B53/B51</f>
        <v>-1.7234435222849988E-2</v>
      </c>
      <c r="D54" s="47">
        <v>0</v>
      </c>
      <c r="E54" t="s">
        <v>251</v>
      </c>
    </row>
    <row r="56" spans="1:5" x14ac:dyDescent="0.35">
      <c r="A56" s="45" t="s">
        <v>252</v>
      </c>
    </row>
    <row r="57" spans="1:5" x14ac:dyDescent="0.35">
      <c r="A57" t="s">
        <v>253</v>
      </c>
      <c r="B57" s="14">
        <f>'GF Monthly FY27'!M22</f>
        <v>11013231.840000004</v>
      </c>
      <c r="C57" s="8">
        <v>700865</v>
      </c>
    </row>
    <row r="58" spans="1:5" x14ac:dyDescent="0.35">
      <c r="A58" t="s">
        <v>254</v>
      </c>
      <c r="B58" s="48">
        <f>B57/(-B52/365)</f>
        <v>17.653479539382406</v>
      </c>
      <c r="C58" s="48">
        <f>C57/(-$B$52/365)</f>
        <v>1.1234400689206998</v>
      </c>
      <c r="D58" s="49">
        <v>60</v>
      </c>
      <c r="E58" t="s">
        <v>255</v>
      </c>
    </row>
    <row r="59" spans="1:5" x14ac:dyDescent="0.35">
      <c r="A59" t="s">
        <v>256</v>
      </c>
      <c r="B59" s="46">
        <f>B57/-$B$52</f>
        <v>4.8365697368170979E-2</v>
      </c>
      <c r="C59" s="46">
        <f>C57/-$B$52</f>
        <v>3.0779179970430136E-3</v>
      </c>
      <c r="D59" s="47">
        <v>8.3299999999999999E-2</v>
      </c>
      <c r="E59" t="s">
        <v>257</v>
      </c>
    </row>
    <row r="60" spans="1:5" x14ac:dyDescent="0.35">
      <c r="A60" t="s">
        <v>258</v>
      </c>
      <c r="B60" s="19">
        <f>B20</f>
        <v>3552151.8400000036</v>
      </c>
      <c r="C60" s="8">
        <v>700865</v>
      </c>
      <c r="E60" t="s">
        <v>259</v>
      </c>
    </row>
    <row r="62" spans="1:5" x14ac:dyDescent="0.35">
      <c r="A62" s="45" t="s">
        <v>260</v>
      </c>
    </row>
    <row r="63" spans="1:5" x14ac:dyDescent="0.35">
      <c r="A63" t="s">
        <v>261</v>
      </c>
      <c r="B63" s="19">
        <f>B57</f>
        <v>11013231.840000004</v>
      </c>
      <c r="C63" s="19">
        <f>C57</f>
        <v>700865</v>
      </c>
    </row>
    <row r="64" spans="1:5" x14ac:dyDescent="0.35">
      <c r="A64" t="s">
        <v>262</v>
      </c>
      <c r="B64" s="19">
        <f>-Assumptions!B30</f>
        <v>-4000000</v>
      </c>
      <c r="C64" s="19">
        <f>B64</f>
        <v>-4000000</v>
      </c>
    </row>
    <row r="65" spans="1:5" x14ac:dyDescent="0.35">
      <c r="A65" t="s">
        <v>263</v>
      </c>
      <c r="B65" s="19">
        <f>-Assumptions!B31</f>
        <v>-3000000</v>
      </c>
      <c r="C65" s="19">
        <f>B65</f>
        <v>-3000000</v>
      </c>
    </row>
    <row r="66" spans="1:5" x14ac:dyDescent="0.35">
      <c r="A66" s="6" t="s">
        <v>264</v>
      </c>
      <c r="B66" s="50">
        <f>SUM(B63:B65)</f>
        <v>4013231.8400000036</v>
      </c>
      <c r="C66" s="50">
        <f>SUM(C63:C65)</f>
        <v>-6299135</v>
      </c>
    </row>
    <row r="67" spans="1:5" x14ac:dyDescent="0.35">
      <c r="A67" t="s">
        <v>265</v>
      </c>
      <c r="B67" s="48">
        <f>B66/(-$B$52/365)</f>
        <v>6.4329442259555707</v>
      </c>
      <c r="C67" s="48">
        <f>C66/(-$B$52/365)</f>
        <v>-10.097095244506136</v>
      </c>
      <c r="E67" t="s">
        <v>266</v>
      </c>
    </row>
    <row r="69" spans="1:5" x14ac:dyDescent="0.35">
      <c r="A69" s="45" t="s">
        <v>267</v>
      </c>
    </row>
    <row r="70" spans="1:5" x14ac:dyDescent="0.35">
      <c r="A70" t="s">
        <v>268</v>
      </c>
      <c r="B70" s="8">
        <v>19053053</v>
      </c>
    </row>
    <row r="71" spans="1:5" x14ac:dyDescent="0.35">
      <c r="A71" t="s">
        <v>269</v>
      </c>
      <c r="B71" s="8">
        <v>16281856</v>
      </c>
    </row>
    <row r="72" spans="1:5" x14ac:dyDescent="0.35">
      <c r="A72" t="s">
        <v>270</v>
      </c>
      <c r="B72" s="8">
        <v>208955795</v>
      </c>
    </row>
    <row r="73" spans="1:5" x14ac:dyDescent="0.35">
      <c r="A73" t="s">
        <v>271</v>
      </c>
      <c r="B73" s="51">
        <f>B71/B72</f>
        <v>7.7920097884818171E-2</v>
      </c>
      <c r="D73" s="47">
        <v>0.05</v>
      </c>
      <c r="E73" t="s">
        <v>272</v>
      </c>
    </row>
    <row r="74" spans="1:5" x14ac:dyDescent="0.35">
      <c r="A74" s="52" t="s">
        <v>273</v>
      </c>
      <c r="E74" t="s">
        <v>274</v>
      </c>
    </row>
    <row r="76" spans="1:5" x14ac:dyDescent="0.35">
      <c r="A76" s="39" t="s">
        <v>275</v>
      </c>
      <c r="B76" s="40"/>
      <c r="C76" s="40"/>
      <c r="D76" s="40"/>
      <c r="E76" s="40"/>
    </row>
    <row r="77" spans="1:5" x14ac:dyDescent="0.35">
      <c r="A77" s="53" t="s">
        <v>276</v>
      </c>
    </row>
    <row r="78" spans="1:5" x14ac:dyDescent="0.35">
      <c r="A78" s="6" t="s">
        <v>4</v>
      </c>
      <c r="B78" s="7" t="s">
        <v>277</v>
      </c>
      <c r="C78" s="7" t="s">
        <v>278</v>
      </c>
      <c r="D78" s="7" t="s">
        <v>279</v>
      </c>
      <c r="E78" s="7" t="s">
        <v>244</v>
      </c>
    </row>
    <row r="79" spans="1:5" x14ac:dyDescent="0.35">
      <c r="A79" t="s">
        <v>7</v>
      </c>
      <c r="B79" s="14">
        <f>Assumptions!B7</f>
        <v>26311952.840000004</v>
      </c>
      <c r="C79" s="19">
        <f>-Assumptions!B30-Assumptions!B31</f>
        <v>-7000000</v>
      </c>
      <c r="D79" s="9">
        <f>B79+C79</f>
        <v>19311952.840000004</v>
      </c>
      <c r="E79" t="s">
        <v>280</v>
      </c>
    </row>
    <row r="80" spans="1:5" x14ac:dyDescent="0.35">
      <c r="A80" t="s">
        <v>83</v>
      </c>
      <c r="B80" s="14">
        <f>Assumptions!B8</f>
        <v>-1788950</v>
      </c>
      <c r="C80" s="19">
        <f>Assumptions!B30</f>
        <v>4000000</v>
      </c>
      <c r="D80" s="50">
        <f>B80+C80</f>
        <v>2211050</v>
      </c>
      <c r="E80" t="s">
        <v>281</v>
      </c>
    </row>
    <row r="81" spans="1:5" x14ac:dyDescent="0.35">
      <c r="A81" t="s">
        <v>98</v>
      </c>
      <c r="B81" s="14">
        <f>Assumptions!B9</f>
        <v>4580307</v>
      </c>
      <c r="C81" s="19">
        <f>Assumptions!B31</f>
        <v>3000000</v>
      </c>
      <c r="D81" s="9">
        <f>B81+C81</f>
        <v>7580307</v>
      </c>
    </row>
    <row r="82" spans="1:5" x14ac:dyDescent="0.35">
      <c r="A82" s="6" t="s">
        <v>282</v>
      </c>
      <c r="B82" s="9">
        <f>SUM(B79:B81)</f>
        <v>29103309.840000004</v>
      </c>
      <c r="C82" s="9">
        <f>SUM(C79:C81)</f>
        <v>0</v>
      </c>
      <c r="D82" s="9">
        <f>SUM(D79:D81)</f>
        <v>29103309.840000004</v>
      </c>
      <c r="E82" t="s">
        <v>283</v>
      </c>
    </row>
    <row r="84" spans="1:5" x14ac:dyDescent="0.35">
      <c r="A84" s="45" t="s">
        <v>284</v>
      </c>
    </row>
    <row r="85" spans="1:5" x14ac:dyDescent="0.35">
      <c r="A85" t="s">
        <v>285</v>
      </c>
      <c r="B85" s="19">
        <f>Assumptions!B30+Assumptions!B31</f>
        <v>7000000</v>
      </c>
    </row>
    <row r="86" spans="1:5" x14ac:dyDescent="0.35">
      <c r="A86" t="s">
        <v>297</v>
      </c>
      <c r="B86" s="47">
        <v>0.06</v>
      </c>
      <c r="E86" t="s">
        <v>298</v>
      </c>
    </row>
    <row r="87" spans="1:5" x14ac:dyDescent="0.35">
      <c r="A87" t="s">
        <v>286</v>
      </c>
      <c r="B87" s="54">
        <v>2.75</v>
      </c>
    </row>
    <row r="88" spans="1:5" x14ac:dyDescent="0.35">
      <c r="A88" s="6" t="s">
        <v>287</v>
      </c>
      <c r="B88" s="50">
        <f>B85*B86*B87</f>
        <v>1155000</v>
      </c>
      <c r="E88" t="s">
        <v>288</v>
      </c>
    </row>
    <row r="89" spans="1:5" x14ac:dyDescent="0.35">
      <c r="A89" t="s">
        <v>289</v>
      </c>
      <c r="B89" s="9">
        <f>B85+B88</f>
        <v>8155000</v>
      </c>
    </row>
    <row r="90" spans="1:5" x14ac:dyDescent="0.35">
      <c r="A90" t="s">
        <v>290</v>
      </c>
      <c r="B90" s="50">
        <f>B57-B89</f>
        <v>2858231.8400000036</v>
      </c>
    </row>
    <row r="91" spans="1:5" x14ac:dyDescent="0.35">
      <c r="A91" t="s">
        <v>265</v>
      </c>
      <c r="B91" s="48">
        <f>B90/(-$B$52/365)</f>
        <v>4.5815558992401435</v>
      </c>
    </row>
    <row r="93" spans="1:5" x14ac:dyDescent="0.35">
      <c r="A93" s="45" t="s">
        <v>291</v>
      </c>
    </row>
    <row r="94" spans="1:5" x14ac:dyDescent="0.35">
      <c r="A94" t="s">
        <v>292</v>
      </c>
      <c r="B94" s="19">
        <f>Assumptions!B26/1.06</f>
        <v>7320000</v>
      </c>
    </row>
    <row r="95" spans="1:5" x14ac:dyDescent="0.35">
      <c r="A95" t="s">
        <v>293</v>
      </c>
      <c r="B95" s="19">
        <f>-Assumptions!B30</f>
        <v>-4000000</v>
      </c>
    </row>
    <row r="96" spans="1:5" x14ac:dyDescent="0.35">
      <c r="A96" s="6" t="s">
        <v>294</v>
      </c>
      <c r="B96" s="9">
        <f>B94+B95</f>
        <v>3320000</v>
      </c>
    </row>
    <row r="97" spans="1:5" x14ac:dyDescent="0.35">
      <c r="A97" t="s">
        <v>295</v>
      </c>
      <c r="B97" s="55">
        <f>Assumptions!B26-B94</f>
        <v>439200</v>
      </c>
      <c r="E97" t="s">
        <v>296</v>
      </c>
    </row>
    <row r="99" spans="1:5" x14ac:dyDescent="0.35">
      <c r="A99" s="4" t="s">
        <v>299</v>
      </c>
      <c r="B99" s="5"/>
      <c r="C99" s="5"/>
      <c r="D99" s="5"/>
      <c r="E99" s="5"/>
    </row>
    <row r="100" spans="1:5" x14ac:dyDescent="0.35">
      <c r="A100" s="6" t="s">
        <v>300</v>
      </c>
      <c r="B100" s="6" t="s">
        <v>76</v>
      </c>
      <c r="C100" s="7" t="s">
        <v>301</v>
      </c>
      <c r="D100" s="6" t="s">
        <v>302</v>
      </c>
    </row>
    <row r="101" spans="1:5" x14ac:dyDescent="0.35">
      <c r="A101" t="s">
        <v>303</v>
      </c>
      <c r="B101" t="s">
        <v>304</v>
      </c>
      <c r="C101" s="46">
        <v>0.06</v>
      </c>
      <c r="D101" t="s">
        <v>305</v>
      </c>
    </row>
    <row r="102" spans="1:5" x14ac:dyDescent="0.35">
      <c r="A102" t="s">
        <v>306</v>
      </c>
      <c r="B102" t="s">
        <v>304</v>
      </c>
      <c r="C102" s="46">
        <v>0.09</v>
      </c>
      <c r="D102" t="s">
        <v>307</v>
      </c>
    </row>
    <row r="103" spans="1:5" x14ac:dyDescent="0.35">
      <c r="A103" t="s">
        <v>308</v>
      </c>
      <c r="B103" t="s">
        <v>309</v>
      </c>
      <c r="C103" s="56" t="s">
        <v>310</v>
      </c>
      <c r="D103" t="s">
        <v>311</v>
      </c>
    </row>
  </sheetData>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6B8798EE8B00942A20300F7DF56DFB1" ma:contentTypeVersion="12" ma:contentTypeDescription="Create a new document." ma:contentTypeScope="" ma:versionID="7ac42dff34fd7ab1feba5a50e89284a4">
  <xsd:schema xmlns:xsd="http://www.w3.org/2001/XMLSchema" xmlns:xs="http://www.w3.org/2001/XMLSchema" xmlns:p="http://schemas.microsoft.com/office/2006/metadata/properties" xmlns:ns2="fa31c885-2cab-4de0-ae15-a6ad290079d3" xmlns:ns3="5fa9682c-c1a5-4be4-96ef-3b33ef7c0861" targetNamespace="http://schemas.microsoft.com/office/2006/metadata/properties" ma:root="true" ma:fieldsID="cb63ebda4d8a2e8ebdcef3a569402f7d" ns2:_="" ns3:_="">
    <xsd:import namespace="fa31c885-2cab-4de0-ae15-a6ad290079d3"/>
    <xsd:import namespace="5fa9682c-c1a5-4be4-96ef-3b33ef7c086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a31c885-2cab-4de0-ae15-a6ad290079d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e1b8c99-a49c-418b-8ebf-2c33793ded0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fa9682c-c1a5-4be4-96ef-3b33ef7c0861"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b4f7ac22-5011-49a5-b0f2-77fb906c7d70}" ma:internalName="TaxCatchAll" ma:showField="CatchAllData" ma:web="5fa9682c-c1a5-4be4-96ef-3b33ef7c086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5fa9682c-c1a5-4be4-96ef-3b33ef7c0861" xsi:nil="true"/>
    <lcf76f155ced4ddcb4097134ff3c332f xmlns="fa31c885-2cab-4de0-ae15-a6ad290079d3">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581EA5C-4B34-482C-AB3C-9DDB8851CA8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a31c885-2cab-4de0-ae15-a6ad290079d3"/>
    <ds:schemaRef ds:uri="5fa9682c-c1a5-4be4-96ef-3b33ef7c086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1B1C103-175C-4A63-B444-DFD09928666F}">
  <ds:schemaRefs>
    <ds:schemaRef ds:uri="http://schemas.microsoft.com/office/2006/metadata/properties"/>
    <ds:schemaRef ds:uri="http://schemas.microsoft.com/office/infopath/2007/PartnerControls"/>
    <ds:schemaRef ds:uri="5fa9682c-c1a5-4be4-96ef-3b33ef7c0861"/>
    <ds:schemaRef ds:uri="fa31c885-2cab-4de0-ae15-a6ad290079d3"/>
  </ds:schemaRefs>
</ds:datastoreItem>
</file>

<file path=customXml/itemProps3.xml><?xml version="1.0" encoding="utf-8"?>
<ds:datastoreItem xmlns:ds="http://schemas.openxmlformats.org/officeDocument/2006/customXml" ds:itemID="{6B4BAFF2-9448-405E-98D6-D8C91E0BBA4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Assumptions</vt:lpstr>
      <vt:lpstr>Interfund Matrix</vt:lpstr>
      <vt:lpstr>GF Monthly FY26</vt:lpstr>
      <vt:lpstr>GF Monthly FY27</vt:lpstr>
      <vt:lpstr>SAVE FY27</vt:lpstr>
      <vt:lpstr>PPEL FY27</vt:lpstr>
      <vt:lpstr>Summary &amp; Checks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Parrott</dc:creator>
  <cp:lastModifiedBy>Michael Parrott</cp:lastModifiedBy>
  <dcterms:created xsi:type="dcterms:W3CDTF">2026-08-11T03:53:55Z</dcterms:created>
  <dcterms:modified xsi:type="dcterms:W3CDTF">2026-08-18T22:22:36Z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0x010100E6B8798EE8B00942A20300F7DF56DFB1</vt:lpwstr>
  </property>
  <property fmtid="{D5CDD505-2E9C-101B-9397-08002B2CF9AE}" pid="3" name="MediaServiceImageTags">
    <vt:lpwstr/>
  </property>
</Properties>
</file>